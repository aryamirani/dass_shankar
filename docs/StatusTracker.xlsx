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mc:AlternateContent xmlns:mc="http://schemas.openxmlformats.org/markup-compatibility/2006">
    <mc:Choice Requires="x15">
      <x15ac:absPath xmlns:x15ac="http://schemas.microsoft.com/office/spreadsheetml/2010/11/ac" url="D:\working\waccache\MA1PEPF0000878C\EXCELCNV\b191e55d-38ec-4fb4-bc5e-3a03d3ce1646\"/>
    </mc:Choice>
  </mc:AlternateContent>
  <xr:revisionPtr revIDLastSave="0" documentId="8_{5DB51816-657A-4F6D-8EE7-E0DE1CAAB021}" xr6:coauthVersionLast="47" xr6:coauthVersionMax="47" xr10:uidLastSave="{00000000-0000-0000-0000-000000000000}"/>
  <bookViews>
    <workbookView xWindow="-60" yWindow="-60" windowWidth="15480" windowHeight="11640" tabRatio="500" firstSheet="1" activeTab="1" xr2:uid="{C5C069D7-F877-4FE9-AE09-1C03DBD3FD53}"/>
  </bookViews>
  <sheets>
    <sheet name="Instructions" sheetId="1" r:id="rId1"/>
    <sheet name="Statu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2" l="1"/>
  <c r="A2" i="2"/>
  <c r="A3" i="2"/>
  <c r="H7" i="2"/>
  <c r="I7" i="2"/>
  <c r="H8" i="2"/>
  <c r="I8" i="2"/>
  <c r="H9" i="2"/>
  <c r="I9" i="2"/>
  <c r="H10" i="2"/>
  <c r="I10" i="2"/>
  <c r="H11" i="2"/>
  <c r="I11" i="2"/>
  <c r="H12" i="2"/>
  <c r="I12" i="2"/>
  <c r="H13" i="2"/>
  <c r="I13" i="2"/>
  <c r="H14" i="2"/>
  <c r="I14" i="2"/>
  <c r="H15" i="2"/>
  <c r="I15" i="2"/>
  <c r="H16" i="2"/>
  <c r="I16" i="2"/>
  <c r="H17" i="2"/>
  <c r="I17" i="2"/>
  <c r="H18" i="2"/>
  <c r="I18" i="2"/>
  <c r="H19" i="2"/>
  <c r="I19" i="2"/>
  <c r="H20" i="2"/>
  <c r="I20" i="2"/>
  <c r="H21" i="2"/>
  <c r="I21" i="2"/>
  <c r="H22" i="2"/>
  <c r="I22" i="2"/>
  <c r="H23" i="2"/>
  <c r="I23" i="2"/>
  <c r="H24" i="2"/>
  <c r="I24" i="2"/>
  <c r="H25" i="2"/>
  <c r="I25" i="2"/>
  <c r="H26" i="2"/>
  <c r="I26" i="2"/>
  <c r="H27" i="2"/>
  <c r="I27" i="2"/>
  <c r="H28" i="2"/>
  <c r="I28" i="2"/>
  <c r="H29" i="2"/>
  <c r="I29" i="2"/>
  <c r="H30" i="2"/>
  <c r="I30" i="2"/>
  <c r="H31" i="2"/>
  <c r="I31" i="2"/>
  <c r="H32" i="2"/>
  <c r="I32" i="2"/>
  <c r="H33" i="2"/>
  <c r="I33" i="2"/>
  <c r="H34" i="2"/>
  <c r="I34" i="2"/>
  <c r="H35" i="2"/>
  <c r="I35" i="2"/>
  <c r="H36" i="2"/>
  <c r="I36" i="2"/>
  <c r="H37" i="2"/>
  <c r="I37" i="2"/>
  <c r="H38" i="2"/>
  <c r="I38" i="2"/>
  <c r="H39" i="2"/>
  <c r="I39" i="2"/>
  <c r="H40" i="2"/>
  <c r="I40" i="2"/>
  <c r="H41" i="2"/>
  <c r="I41" i="2"/>
  <c r="H42" i="2"/>
  <c r="I42" i="2"/>
  <c r="H43" i="2"/>
  <c r="I43" i="2"/>
  <c r="H44" i="2"/>
  <c r="I44" i="2"/>
  <c r="H45" i="2"/>
  <c r="I45" i="2"/>
  <c r="H46" i="2"/>
  <c r="I46" i="2"/>
  <c r="H47" i="2"/>
  <c r="I47" i="2"/>
  <c r="H48" i="2"/>
  <c r="I48" i="2"/>
  <c r="H49" i="2"/>
  <c r="I49" i="2"/>
  <c r="H50" i="2"/>
  <c r="I50" i="2"/>
  <c r="H51" i="2"/>
  <c r="I51" i="2"/>
  <c r="H52" i="2"/>
  <c r="I52" i="2"/>
  <c r="H53" i="2"/>
  <c r="I53" i="2"/>
  <c r="H54" i="2"/>
  <c r="I54" i="2"/>
  <c r="H55" i="2"/>
  <c r="I55" i="2"/>
  <c r="H56" i="2"/>
  <c r="I56" i="2"/>
  <c r="H57" i="2"/>
  <c r="I57" i="2"/>
  <c r="H58" i="2"/>
  <c r="I58" i="2"/>
  <c r="H59" i="2"/>
  <c r="I59" i="2"/>
  <c r="H60" i="2"/>
  <c r="I60" i="2"/>
  <c r="H61" i="2"/>
  <c r="I61" i="2"/>
  <c r="H62" i="2"/>
  <c r="I62" i="2"/>
  <c r="H63" i="2"/>
  <c r="I63" i="2"/>
  <c r="H64" i="2"/>
  <c r="I64" i="2"/>
  <c r="H65" i="2"/>
  <c r="I65" i="2"/>
  <c r="H66" i="2"/>
  <c r="I66" i="2"/>
  <c r="H67" i="2"/>
  <c r="I67" i="2"/>
  <c r="H68" i="2"/>
  <c r="I68" i="2"/>
  <c r="H69" i="2"/>
  <c r="I69" i="2"/>
  <c r="H70" i="2"/>
  <c r="I70" i="2"/>
  <c r="H71" i="2"/>
  <c r="I71" i="2"/>
  <c r="H72" i="2"/>
  <c r="I72" i="2"/>
  <c r="H73" i="2"/>
  <c r="I73" i="2"/>
  <c r="H74" i="2"/>
  <c r="I74" i="2"/>
  <c r="H75" i="2"/>
  <c r="I75" i="2"/>
  <c r="H76" i="2"/>
  <c r="I76" i="2"/>
  <c r="H77" i="2"/>
  <c r="I77" i="2"/>
  <c r="H78" i="2"/>
  <c r="I78" i="2"/>
  <c r="H79" i="2"/>
  <c r="I79" i="2"/>
  <c r="H80" i="2"/>
  <c r="I80" i="2"/>
  <c r="H81" i="2"/>
  <c r="I81" i="2"/>
  <c r="H82" i="2"/>
  <c r="I82" i="2"/>
  <c r="H83" i="2"/>
  <c r="I83" i="2"/>
  <c r="H84" i="2"/>
  <c r="I84" i="2"/>
  <c r="H85" i="2"/>
  <c r="I85" i="2"/>
  <c r="H86" i="2"/>
  <c r="I86" i="2"/>
  <c r="H87" i="2"/>
  <c r="I87" i="2"/>
  <c r="H88" i="2"/>
  <c r="I88" i="2"/>
  <c r="H89" i="2"/>
  <c r="I89" i="2"/>
  <c r="H90" i="2"/>
  <c r="I90" i="2"/>
  <c r="H91" i="2"/>
  <c r="I91" i="2"/>
  <c r="H92" i="2"/>
  <c r="I92" i="2"/>
  <c r="H93" i="2"/>
  <c r="I93" i="2"/>
  <c r="H94" i="2"/>
  <c r="I94" i="2"/>
  <c r="H95" i="2"/>
  <c r="I95" i="2"/>
  <c r="H96" i="2"/>
  <c r="I96" i="2"/>
  <c r="H97" i="2"/>
  <c r="I97" i="2"/>
  <c r="H98" i="2"/>
  <c r="I98" i="2"/>
  <c r="H99" i="2"/>
  <c r="I99" i="2"/>
  <c r="H100" i="2"/>
  <c r="I100" i="2"/>
  <c r="H101" i="2"/>
  <c r="I101" i="2"/>
  <c r="H102" i="2"/>
  <c r="I102" i="2"/>
  <c r="H103" i="2"/>
  <c r="I103" i="2"/>
  <c r="H104" i="2"/>
  <c r="I104" i="2"/>
  <c r="H105" i="2"/>
  <c r="I105" i="2"/>
  <c r="H106" i="2"/>
  <c r="I106" i="2"/>
  <c r="H107" i="2"/>
  <c r="I107" i="2"/>
  <c r="H108" i="2"/>
  <c r="I108" i="2"/>
  <c r="H109" i="2"/>
  <c r="I109" i="2"/>
  <c r="H110" i="2"/>
  <c r="I110" i="2"/>
  <c r="H111" i="2"/>
  <c r="I111" i="2"/>
  <c r="H112" i="2"/>
  <c r="I112" i="2"/>
  <c r="H113" i="2"/>
  <c r="I113" i="2"/>
  <c r="H114" i="2"/>
  <c r="I114" i="2"/>
  <c r="H115" i="2"/>
  <c r="I115" i="2"/>
  <c r="H116" i="2"/>
  <c r="I116" i="2"/>
  <c r="H117" i="2"/>
  <c r="I117" i="2"/>
  <c r="H118" i="2"/>
  <c r="I118" i="2"/>
  <c r="H119" i="2"/>
  <c r="I119" i="2"/>
  <c r="H120" i="2"/>
  <c r="I120" i="2"/>
  <c r="H121" i="2"/>
  <c r="I121" i="2"/>
  <c r="H122" i="2"/>
  <c r="I122" i="2"/>
  <c r="H123" i="2"/>
  <c r="I123" i="2"/>
  <c r="H124" i="2"/>
  <c r="I124" i="2"/>
  <c r="H125" i="2"/>
  <c r="I125" i="2"/>
  <c r="H126" i="2"/>
  <c r="I126" i="2"/>
  <c r="H127" i="2"/>
  <c r="I127" i="2"/>
  <c r="H128" i="2"/>
  <c r="I128" i="2"/>
  <c r="H129" i="2"/>
  <c r="I129" i="2"/>
  <c r="H130" i="2"/>
  <c r="I130" i="2"/>
  <c r="H131" i="2"/>
  <c r="I131" i="2"/>
  <c r="H132" i="2"/>
  <c r="I132" i="2"/>
  <c r="H133" i="2"/>
  <c r="I133" i="2"/>
  <c r="H134" i="2"/>
  <c r="I134" i="2"/>
  <c r="H135" i="2"/>
  <c r="I135" i="2"/>
  <c r="H136" i="2"/>
  <c r="I136" i="2"/>
  <c r="H137" i="2"/>
  <c r="I137" i="2"/>
  <c r="H138" i="2"/>
  <c r="I138" i="2"/>
  <c r="H139" i="2"/>
  <c r="I139" i="2"/>
  <c r="H140" i="2"/>
  <c r="I140" i="2"/>
  <c r="H141" i="2"/>
  <c r="I141" i="2"/>
  <c r="H142" i="2"/>
  <c r="I142" i="2"/>
  <c r="H143" i="2"/>
  <c r="I143" i="2"/>
  <c r="H144" i="2"/>
  <c r="I144" i="2"/>
  <c r="H145" i="2"/>
  <c r="I145" i="2"/>
  <c r="H146" i="2"/>
  <c r="I146" i="2"/>
  <c r="H147" i="2"/>
  <c r="I147" i="2"/>
  <c r="H148" i="2"/>
  <c r="I148" i="2"/>
  <c r="H149" i="2"/>
  <c r="I149" i="2"/>
  <c r="H150" i="2"/>
  <c r="I150" i="2"/>
  <c r="H151" i="2"/>
  <c r="I151" i="2"/>
  <c r="H152" i="2"/>
  <c r="I152" i="2"/>
  <c r="H153" i="2"/>
  <c r="I153" i="2"/>
  <c r="H154" i="2"/>
  <c r="I154" i="2"/>
  <c r="H155" i="2"/>
  <c r="I155" i="2"/>
  <c r="H156" i="2"/>
  <c r="I156" i="2"/>
  <c r="H157" i="2"/>
  <c r="I157" i="2"/>
  <c r="H158" i="2"/>
  <c r="I158" i="2"/>
  <c r="H159" i="2"/>
  <c r="I159" i="2"/>
  <c r="H160" i="2"/>
  <c r="I160" i="2"/>
  <c r="H161" i="2"/>
  <c r="I161" i="2"/>
  <c r="H162" i="2"/>
  <c r="I162" i="2"/>
  <c r="H163" i="2"/>
  <c r="I163" i="2"/>
  <c r="H164" i="2"/>
  <c r="I164" i="2"/>
  <c r="H165" i="2"/>
  <c r="I165" i="2"/>
  <c r="H166" i="2"/>
  <c r="I166" i="2"/>
  <c r="H167" i="2"/>
  <c r="I167" i="2"/>
  <c r="H168" i="2"/>
  <c r="I168" i="2"/>
  <c r="H169" i="2"/>
  <c r="I169" i="2"/>
  <c r="H170" i="2"/>
  <c r="I170" i="2"/>
  <c r="H171" i="2"/>
  <c r="I171" i="2"/>
  <c r="H172" i="2"/>
  <c r="I172" i="2"/>
  <c r="H173" i="2"/>
  <c r="I173" i="2"/>
  <c r="H174" i="2"/>
  <c r="I174" i="2"/>
  <c r="H175" i="2"/>
  <c r="I175" i="2"/>
  <c r="H176" i="2"/>
  <c r="I176" i="2"/>
  <c r="H177" i="2"/>
  <c r="I177" i="2"/>
  <c r="H178" i="2"/>
  <c r="I178" i="2"/>
  <c r="H179" i="2"/>
  <c r="I179" i="2"/>
  <c r="H180" i="2"/>
  <c r="I180" i="2"/>
  <c r="H181" i="2"/>
  <c r="I181" i="2"/>
  <c r="H182" i="2"/>
  <c r="I182" i="2"/>
  <c r="H183" i="2"/>
  <c r="I183" i="2"/>
  <c r="H184" i="2"/>
  <c r="I184" i="2"/>
  <c r="H185" i="2"/>
  <c r="I185" i="2"/>
  <c r="H186" i="2"/>
  <c r="I186" i="2"/>
  <c r="H187" i="2"/>
  <c r="I187" i="2"/>
  <c r="H188" i="2"/>
  <c r="I188" i="2"/>
  <c r="H189" i="2"/>
  <c r="I189" i="2"/>
  <c r="H190" i="2"/>
  <c r="I190" i="2"/>
  <c r="H191" i="2"/>
  <c r="I191" i="2"/>
  <c r="H192" i="2"/>
  <c r="I192" i="2"/>
  <c r="H193" i="2"/>
  <c r="I193" i="2"/>
  <c r="H194" i="2"/>
  <c r="I194" i="2"/>
  <c r="H195" i="2"/>
  <c r="I195" i="2"/>
  <c r="H196" i="2"/>
  <c r="I196" i="2"/>
  <c r="H197" i="2"/>
  <c r="I197" i="2"/>
  <c r="H198" i="2"/>
  <c r="I198" i="2"/>
  <c r="H199" i="2"/>
  <c r="I199" i="2"/>
  <c r="H200" i="2"/>
  <c r="I200" i="2"/>
  <c r="H201" i="2"/>
  <c r="I201" i="2"/>
  <c r="H202" i="2"/>
  <c r="I202" i="2"/>
  <c r="H203" i="2"/>
  <c r="I203" i="2"/>
  <c r="H204" i="2"/>
  <c r="I204" i="2"/>
  <c r="H205" i="2"/>
  <c r="I205" i="2"/>
  <c r="H206" i="2"/>
  <c r="I206" i="2"/>
  <c r="H207" i="2"/>
  <c r="I207" i="2"/>
  <c r="H208" i="2"/>
  <c r="I208" i="2"/>
  <c r="H209" i="2"/>
  <c r="I209" i="2"/>
  <c r="H210" i="2"/>
  <c r="I210" i="2"/>
  <c r="H211" i="2"/>
  <c r="I211" i="2"/>
  <c r="H212" i="2"/>
  <c r="I212" i="2"/>
  <c r="H213" i="2"/>
  <c r="I213" i="2"/>
  <c r="H214" i="2"/>
  <c r="I214" i="2"/>
  <c r="H215" i="2"/>
  <c r="I215" i="2"/>
  <c r="H216" i="2"/>
  <c r="I216" i="2"/>
  <c r="H217" i="2"/>
  <c r="I217" i="2"/>
  <c r="H218" i="2"/>
  <c r="I218" i="2"/>
  <c r="H219" i="2"/>
  <c r="I219" i="2"/>
  <c r="H220" i="2"/>
  <c r="I220" i="2"/>
  <c r="H221" i="2"/>
  <c r="I221" i="2"/>
  <c r="H222" i="2"/>
  <c r="I222" i="2"/>
  <c r="H223" i="2"/>
  <c r="I223" i="2"/>
  <c r="H224" i="2"/>
  <c r="I224" i="2"/>
  <c r="H225" i="2"/>
  <c r="I225" i="2"/>
  <c r="H226" i="2"/>
  <c r="I226" i="2"/>
  <c r="H227" i="2"/>
  <c r="I227" i="2"/>
  <c r="H228" i="2"/>
  <c r="I228" i="2"/>
  <c r="H229" i="2"/>
  <c r="I229" i="2"/>
  <c r="H230" i="2"/>
  <c r="I230" i="2"/>
  <c r="H231" i="2"/>
  <c r="I231" i="2"/>
  <c r="I232" i="2"/>
  <c r="I233" i="2"/>
  <c r="I234" i="2"/>
  <c r="I235" i="2"/>
  <c r="I236" i="2"/>
  <c r="I237" i="2"/>
  <c r="I238" i="2"/>
</calcChain>
</file>

<file path=xl/sharedStrings.xml><?xml version="1.0" encoding="utf-8"?>
<sst xmlns="http://schemas.openxmlformats.org/spreadsheetml/2006/main" count="158" uniqueCount="89">
  <si>
    <t>Using the Status tracker</t>
  </si>
  <si>
    <t>At the end of each week, update the status of all activities completed during the week</t>
  </si>
  <si>
    <t>The status tracker shown in this worksheet is an example tracker (values filled are during the middle of the week)</t>
  </si>
  <si>
    <t>Fill in hours spent on each activity during the current week</t>
  </si>
  <si>
    <t>If 5 team members each spent an hour, that counts as 5 hours</t>
  </si>
  <si>
    <t>Fill in time for activities not fully completed ("ongoing") as well, then update these values during following weeks</t>
  </si>
  <si>
    <t>During the planning phases, identify the activities to be done during each week</t>
  </si>
  <si>
    <t>If you spend time on an activity not listed in the tracker, add the activity and list actual hours (need not fill in estimated hours if you didn't estimate it up front)</t>
  </si>
  <si>
    <t>For new activities, identify the type of activity - documentation, coordination, estimation etc.</t>
  </si>
  <si>
    <t>At the end of each week, plan ahead for the following week</t>
  </si>
  <si>
    <t>Identify people responsible for each activity</t>
  </si>
  <si>
    <t>Estimate the hours needed for the activity</t>
  </si>
  <si>
    <t>PROJECT NUMBER</t>
  </si>
  <si>
    <t>PROJECT NAME</t>
  </si>
  <si>
    <t>Slearn</t>
  </si>
  <si>
    <t>PROJECT MENTOR (sponsor)</t>
  </si>
  <si>
    <t>shankar foundation</t>
  </si>
  <si>
    <t>TEAM MEMBERS</t>
  </si>
  <si>
    <t>arya mirani</t>
  </si>
  <si>
    <t>vaishnavi k</t>
  </si>
  <si>
    <t>dev patel</t>
  </si>
  <si>
    <t>manan trivedi</t>
  </si>
  <si>
    <t>vruddhi shah</t>
  </si>
  <si>
    <t>Santhosh</t>
  </si>
  <si>
    <t>Activity Name</t>
  </si>
  <si>
    <t>Type</t>
  </si>
  <si>
    <t>Responsible</t>
  </si>
  <si>
    <t>Estimated Team Hours</t>
  </si>
  <si>
    <t>Actual Hours</t>
  </si>
  <si>
    <t>Status</t>
  </si>
  <si>
    <t>Comments</t>
  </si>
  <si>
    <t>Estimation error</t>
  </si>
  <si>
    <t>Estimation error %</t>
  </si>
  <si>
    <t xml:space="preserve">    See Instructions sheet for usage</t>
  </si>
  <si>
    <t>Week 1 (January 16-  January 17)</t>
  </si>
  <si>
    <t>[Jan 16] Set a meeting with the client</t>
  </si>
  <si>
    <t>Coordination</t>
  </si>
  <si>
    <t>arya</t>
  </si>
  <si>
    <t>Done</t>
  </si>
  <si>
    <t>onboarding of the team with the client and knowing the process</t>
  </si>
  <si>
    <t>[Jan 16] Updated design requirements after client meeting</t>
  </si>
  <si>
    <t>Documentation</t>
  </si>
  <si>
    <t>vaishnavi</t>
  </si>
  <si>
    <t>update the design requirements according to client feedback, and divide work among team members</t>
  </si>
  <si>
    <t>Week 2 (January 18 - January  24)</t>
  </si>
  <si>
    <t>[jan 18] restructure repository</t>
  </si>
  <si>
    <t>setup branches and connect to vercel</t>
  </si>
  <si>
    <t>[jan 18] changes requested by client in meeting</t>
  </si>
  <si>
    <t>Project Progress</t>
  </si>
  <si>
    <t>UI changes</t>
  </si>
  <si>
    <t>[jan 19] changes requested by client in meeting</t>
  </si>
  <si>
    <t>manan</t>
  </si>
  <si>
    <t xml:space="preserve">changes requested by the clients - Increse the Font sizes in  Some modules , Changes some Submit Button </t>
  </si>
  <si>
    <t>vruddhi</t>
  </si>
  <si>
    <t>[jan 21] changes requested by client in meeting</t>
  </si>
  <si>
    <t>dev</t>
  </si>
  <si>
    <t>[Jan 22] client requested changes – color changes, navigation changes between vocabulary exercises</t>
  </si>
  <si>
    <t>[jan 23] Pushed the code to vercel for sending to clients, made website responsive for phone and tablet</t>
  </si>
  <si>
    <t>Meeting 2 with client [Feb 23]</t>
  </si>
  <si>
    <t>all</t>
  </si>
  <si>
    <t>updated client on changes made; documented feedback to further changes</t>
  </si>
  <si>
    <t>Week 3 (January 25 – January 31)</t>
  </si>
  <si>
    <t>allocated work in implementing further modules</t>
  </si>
  <si>
    <t>dev, vruddhi ,manan, vaishnavi</t>
  </si>
  <si>
    <t>project synopsis</t>
  </si>
  <si>
    <t>Week 4(Feb 1 - Feb 7)</t>
  </si>
  <si>
    <t>[Feb 1]  make backend database using supabase</t>
  </si>
  <si>
    <t>Ongoing</t>
  </si>
  <si>
    <t>[Feb 1] created new modules – evs</t>
  </si>
  <si>
    <t>[feb 2] created new modules – english</t>
  </si>
  <si>
    <t>add new modules in English</t>
  </si>
  <si>
    <t>[feb 2-3] created new modules (math word problems, english read words), added exercises to evs module</t>
  </si>
  <si>
    <t>[feb 3] Team Internal meeting</t>
  </si>
  <si>
    <t>Discussed navigation issues and variations in module implementation; resplit tasks to ensure uniformity among modules</t>
  </si>
  <si>
    <t xml:space="preserve">[feb 3] created new modules - english </t>
  </si>
  <si>
    <t>[feb 3] refactored and organized codebase for vercel and grade-wise navigation</t>
  </si>
  <si>
    <t>navigation changes – dashboard</t>
  </si>
  <si>
    <t>Go to Shankar Foundation School [Feb 4]</t>
  </si>
  <si>
    <t>All</t>
  </si>
  <si>
    <t>visited the school and saw the process of teaching</t>
  </si>
  <si>
    <t>[feb 5] main page dropdown menus, navigation between modules</t>
  </si>
  <si>
    <t>added dropdown menu  for the grades on the main page  which further nevigates to the menu of specific subject of that grade and which will nevigate to exersices of that subject .</t>
  </si>
  <si>
    <t>Further exercise changes in modules – english</t>
  </si>
  <si>
    <t>exercise changes in modules – math</t>
  </si>
  <si>
    <t>[feb 7] resizing and rearranging evs</t>
  </si>
  <si>
    <t>Week 5 (Feb 8 – Feb 14)</t>
  </si>
  <si>
    <t>Updating project plan, updating status tracker since first meet</t>
  </si>
  <si>
    <t>In progress</t>
  </si>
  <si>
    <t>Week 6 (Feb 15 – Feb 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</si>
</sst>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0"/>
      <name val="Arial"/>
    </font>
    <font>
      <b/>
      <sz val="14"/>
      <name val="Arial"/>
      <family val="2"/>
    </font>
    <font>
      <sz val="14"/>
      <color indexed="12"/>
      <name val="Arial"/>
      <family val="2"/>
    </font>
    <font>
      <sz val="14"/>
      <name val="Arial"/>
      <family val="2"/>
    </font>
    <font>
      <b/>
      <sz val="10"/>
      <name val="Arial"/>
      <family val="2"/>
    </font>
    <font>
      <b/>
      <u/>
      <sz val="12"/>
      <color indexed="39"/>
      <name val="Arial"/>
      <family val="2"/>
    </font>
    <font>
      <u/>
      <sz val="10"/>
      <color indexed="39"/>
      <name val="Arial"/>
      <family val="2"/>
    </font>
    <font>
      <b/>
      <sz val="12"/>
      <name val="Arial"/>
      <family val="2"/>
    </font>
    <font>
      <sz val="10"/>
      <name val="Arial"/>
      <family val="2"/>
    </font>
  </fonts>
  <fills count="7">
    <fill>
      <patternFill patternType="none"/>
    </fill>
    <fill>
      <patternFill patternType="gray125"/>
    </fill>
    <fill>
      <patternFill patternType="solid">
        <fgColor indexed="47"/>
        <bgColor indexed="22"/>
      </patternFill>
    </fill>
    <fill>
      <patternFill patternType="solid">
        <fgColor indexed="55"/>
        <bgColor indexed="23"/>
      </patternFill>
    </fill>
    <fill>
      <patternFill patternType="solid">
        <fgColor indexed="34"/>
        <bgColor indexed="13"/>
      </patternFill>
    </fill>
    <fill>
      <patternFill patternType="solid">
        <fgColor indexed="13"/>
        <bgColor indexed="34"/>
      </patternFill>
    </fill>
    <fill>
      <patternFill patternType="solid">
        <fgColor rgb="FFFFFF00"/>
        <bgColor indexed="64"/>
      </patternFill>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28">
    <xf numFmtId="0" fontId="0" fillId="0" borderId="0" xfId="0"/>
    <xf numFmtId="0" fontId="0" fillId="0" borderId="0" xfId="0" applyAlignment="1">
      <alignment horizontal="center"/>
    </xf>
    <xf numFmtId="0" fontId="1" fillId="0" borderId="0" xfId="0" applyFont="1"/>
    <xf numFmtId="0" fontId="2" fillId="0" borderId="0" xfId="0" applyFont="1"/>
    <xf numFmtId="49" fontId="0" fillId="0" borderId="0" xfId="0" applyNumberFormat="1" applyAlignment="1">
      <alignment horizontal="center"/>
    </xf>
    <xf numFmtId="0" fontId="0" fillId="2" borderId="0" xfId="0" applyFill="1" applyAlignment="1">
      <alignment horizontal="center"/>
    </xf>
    <xf numFmtId="0" fontId="3" fillId="0" borderId="0" xfId="0" applyFont="1" applyAlignment="1">
      <alignment horizontal="center"/>
    </xf>
    <xf numFmtId="0" fontId="4" fillId="3" borderId="0" xfId="0" applyFont="1" applyFill="1" applyAlignment="1">
      <alignment vertical="center"/>
    </xf>
    <xf numFmtId="0" fontId="4" fillId="3" borderId="0" xfId="0" applyFont="1" applyFill="1" applyAlignment="1">
      <alignment horizontal="center" vertical="center"/>
    </xf>
    <xf numFmtId="49" fontId="4" fillId="3" borderId="0" xfId="0" applyNumberFormat="1" applyFont="1" applyFill="1" applyAlignment="1">
      <alignment horizontal="center" vertical="center" wrapText="1"/>
    </xf>
    <xf numFmtId="49" fontId="4" fillId="3" borderId="0" xfId="0" applyNumberFormat="1" applyFont="1" applyFill="1" applyAlignment="1">
      <alignment horizontal="center" vertical="center"/>
    </xf>
    <xf numFmtId="49" fontId="4" fillId="2" borderId="0" xfId="0" applyNumberFormat="1" applyFont="1" applyFill="1" applyAlignment="1">
      <alignment horizontal="center" vertical="center" wrapText="1"/>
    </xf>
    <xf numFmtId="0" fontId="0" fillId="0" borderId="0" xfId="0" applyAlignment="1">
      <alignment vertical="center"/>
    </xf>
    <xf numFmtId="0" fontId="5" fillId="4" borderId="0" xfId="1" applyNumberFormat="1" applyFont="1" applyFill="1" applyBorder="1" applyAlignment="1" applyProtection="1">
      <alignment vertical="center"/>
    </xf>
    <xf numFmtId="0" fontId="7" fillId="4" borderId="0" xfId="0" applyFont="1" applyFill="1" applyAlignment="1">
      <alignment vertical="center"/>
    </xf>
    <xf numFmtId="0" fontId="7" fillId="4" borderId="0" xfId="0" applyFont="1" applyFill="1" applyAlignment="1">
      <alignment horizontal="center" vertical="center"/>
    </xf>
    <xf numFmtId="49" fontId="7" fillId="4" borderId="0" xfId="0" applyNumberFormat="1" applyFont="1" applyFill="1" applyAlignment="1">
      <alignment horizontal="center" vertical="center"/>
    </xf>
    <xf numFmtId="0" fontId="4" fillId="3" borderId="0" xfId="0" applyFont="1" applyFill="1"/>
    <xf numFmtId="0" fontId="0" fillId="3" borderId="0" xfId="0" applyFill="1"/>
    <xf numFmtId="0" fontId="0" fillId="3" borderId="0" xfId="0" applyFill="1" applyAlignment="1">
      <alignment horizontal="center"/>
    </xf>
    <xf numFmtId="0" fontId="4" fillId="3" borderId="0" xfId="0" applyFont="1" applyFill="1" applyAlignment="1">
      <alignment horizontal="center"/>
    </xf>
    <xf numFmtId="49" fontId="0" fillId="3" borderId="0" xfId="0" applyNumberFormat="1" applyFill="1" applyAlignment="1">
      <alignment horizontal="center"/>
    </xf>
    <xf numFmtId="0" fontId="4" fillId="2" borderId="0" xfId="0" applyFont="1" applyFill="1" applyAlignment="1">
      <alignment horizontal="center"/>
    </xf>
    <xf numFmtId="0" fontId="8" fillId="0" borderId="0" xfId="0" applyFont="1"/>
    <xf numFmtId="0" fontId="8" fillId="0" borderId="0" xfId="0" applyFont="1" applyAlignment="1">
      <alignment horizontal="center"/>
    </xf>
    <xf numFmtId="0" fontId="0" fillId="0" borderId="0" xfId="0" applyAlignment="1">
      <alignment wrapText="1"/>
    </xf>
    <xf numFmtId="0" fontId="0" fillId="5" borderId="0" xfId="0" applyFill="1" applyAlignment="1">
      <alignment horizontal="center"/>
    </xf>
    <xf numFmtId="49" fontId="0" fillId="6" borderId="0" xfId="0" applyNumberFormat="1" applyFill="1" applyAlignment="1">
      <alignment horizontal="center"/>
    </xf>
  </cellXfs>
  <cellStyles count="2">
    <cellStyle name="Hyperlink" xfId="1" builtinId="8"/>
    <cellStyle name="Normal" xfId="0" builtinId="0"/>
  </cellStyles>
  <dxfs count="15">
    <dxf>
      <font>
        <b val="0"/>
        <condense val="0"/>
        <extend val="0"/>
        <color indexed="8"/>
      </font>
      <fill>
        <patternFill patternType="solid">
          <fgColor indexed="13"/>
          <bgColor indexed="34"/>
        </patternFill>
      </fill>
    </dxf>
    <dxf>
      <font>
        <b val="0"/>
        <condense val="0"/>
        <extend val="0"/>
        <color indexed="8"/>
      </font>
      <fill>
        <patternFill patternType="solid">
          <fgColor indexed="58"/>
          <bgColor indexed="17"/>
        </patternFill>
      </fill>
    </dxf>
    <dxf>
      <font>
        <b val="0"/>
        <condense val="0"/>
        <extend val="0"/>
        <color indexed="8"/>
      </font>
      <fill>
        <patternFill patternType="solid">
          <fgColor indexed="60"/>
          <bgColor indexed="10"/>
        </patternFill>
      </fill>
    </dxf>
    <dxf>
      <font>
        <b val="0"/>
        <condense val="0"/>
        <extend val="0"/>
        <color indexed="8"/>
      </font>
      <fill>
        <patternFill patternType="solid">
          <fgColor indexed="13"/>
          <bgColor indexed="34"/>
        </patternFill>
      </fill>
    </dxf>
    <dxf>
      <font>
        <b val="0"/>
        <condense val="0"/>
        <extend val="0"/>
        <color indexed="8"/>
      </font>
      <fill>
        <patternFill patternType="solid">
          <fgColor indexed="58"/>
          <bgColor indexed="17"/>
        </patternFill>
      </fill>
    </dxf>
    <dxf>
      <font>
        <b val="0"/>
        <condense val="0"/>
        <extend val="0"/>
        <color indexed="8"/>
      </font>
      <fill>
        <patternFill patternType="solid">
          <fgColor indexed="60"/>
          <bgColor indexed="10"/>
        </patternFill>
      </fill>
    </dxf>
    <dxf>
      <font>
        <b val="0"/>
        <condense val="0"/>
        <extend val="0"/>
        <color indexed="8"/>
      </font>
      <fill>
        <patternFill patternType="solid">
          <fgColor indexed="13"/>
          <bgColor indexed="34"/>
        </patternFill>
      </fill>
    </dxf>
    <dxf>
      <font>
        <b val="0"/>
        <condense val="0"/>
        <extend val="0"/>
        <color indexed="8"/>
      </font>
      <fill>
        <patternFill patternType="solid">
          <fgColor indexed="58"/>
          <bgColor indexed="17"/>
        </patternFill>
      </fill>
    </dxf>
    <dxf>
      <font>
        <b val="0"/>
        <condense val="0"/>
        <extend val="0"/>
        <color indexed="8"/>
      </font>
      <fill>
        <patternFill patternType="solid">
          <fgColor indexed="60"/>
          <bgColor indexed="10"/>
        </patternFill>
      </fill>
    </dxf>
    <dxf>
      <font>
        <b val="0"/>
        <condense val="0"/>
        <extend val="0"/>
        <color indexed="8"/>
      </font>
      <fill>
        <patternFill patternType="solid">
          <fgColor indexed="13"/>
          <bgColor indexed="34"/>
        </patternFill>
      </fill>
    </dxf>
    <dxf>
      <font>
        <b val="0"/>
        <condense val="0"/>
        <extend val="0"/>
        <color indexed="8"/>
      </font>
      <fill>
        <patternFill patternType="solid">
          <fgColor indexed="58"/>
          <bgColor indexed="17"/>
        </patternFill>
      </fill>
    </dxf>
    <dxf>
      <font>
        <b val="0"/>
        <condense val="0"/>
        <extend val="0"/>
        <color indexed="8"/>
      </font>
      <fill>
        <patternFill patternType="solid">
          <fgColor indexed="60"/>
          <bgColor indexed="10"/>
        </patternFill>
      </fill>
    </dxf>
    <dxf>
      <font>
        <b val="0"/>
        <condense val="0"/>
        <extend val="0"/>
        <color indexed="8"/>
      </font>
      <fill>
        <patternFill patternType="solid">
          <fgColor indexed="13"/>
          <bgColor indexed="34"/>
        </patternFill>
      </fill>
    </dxf>
    <dxf>
      <font>
        <b val="0"/>
        <condense val="0"/>
        <extend val="0"/>
        <color indexed="8"/>
      </font>
      <fill>
        <patternFill patternType="solid">
          <fgColor indexed="58"/>
          <bgColor indexed="17"/>
        </patternFill>
      </fill>
    </dxf>
    <dxf>
      <font>
        <b val="0"/>
        <condense val="0"/>
        <extend val="0"/>
        <color indexed="8"/>
      </font>
      <fill>
        <patternFill patternType="solid">
          <fgColor indexed="60"/>
          <bgColor indexed="1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00FF00"/>
      <rgbColor rgb="000000FF"/>
      <rgbColor rgb="00FFFF00"/>
      <rgbColor rgb="00FF00FF"/>
      <rgbColor rgb="0000FFFF"/>
      <rgbColor rgb="00800000"/>
      <rgbColor rgb="00006411"/>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CF305"/>
      <rgbColor rgb="0000FFFF"/>
      <rgbColor rgb="00800080"/>
      <rgbColor rgb="00800000"/>
      <rgbColor rgb="00008080"/>
      <rgbColor rgb="000000D4"/>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28572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D78AF-0048-4579-A251-CC700CB8295D}">
  <dimension ref="A1:C27"/>
  <sheetViews>
    <sheetView zoomScale="140" zoomScaleNormal="140" workbookViewId="0">
      <selection activeCell="A30" sqref="A30"/>
    </sheetView>
  </sheetViews>
  <sheetFormatPr defaultColWidth="8.85546875" defaultRowHeight="12.75"/>
  <cols>
    <col min="1" max="1" width="88.28515625" customWidth="1"/>
    <col min="2" max="2" width="50.28515625" customWidth="1"/>
  </cols>
  <sheetData>
    <row r="1" spans="1:3" ht="18">
      <c r="A1" s="1"/>
      <c r="C1" s="2" t="s">
        <v>0</v>
      </c>
    </row>
    <row r="2" spans="1:3" ht="18">
      <c r="A2" s="1"/>
      <c r="C2" s="2"/>
    </row>
    <row r="3" spans="1:3">
      <c r="A3" t="s">
        <v>1</v>
      </c>
    </row>
    <row r="4" spans="1:3">
      <c r="A4" t="s">
        <v>2</v>
      </c>
    </row>
    <row r="5" spans="1:3">
      <c r="A5" t="s">
        <v>3</v>
      </c>
    </row>
    <row r="6" spans="1:3">
      <c r="B6" t="s">
        <v>4</v>
      </c>
    </row>
    <row r="7" spans="1:3">
      <c r="B7" t="s">
        <v>5</v>
      </c>
    </row>
    <row r="8" spans="1:3">
      <c r="A8" t="s">
        <v>6</v>
      </c>
    </row>
    <row r="9" spans="1:3">
      <c r="A9" t="s">
        <v>7</v>
      </c>
    </row>
    <row r="11" spans="1:3">
      <c r="A11" t="s">
        <v>8</v>
      </c>
    </row>
    <row r="13" spans="1:3">
      <c r="A13" t="s">
        <v>9</v>
      </c>
    </row>
    <row r="14" spans="1:3">
      <c r="B14" t="s">
        <v>10</v>
      </c>
    </row>
    <row r="15" spans="1:3">
      <c r="B15" t="s">
        <v>11</v>
      </c>
    </row>
    <row r="19" spans="1:2" ht="30.95" customHeight="1">
      <c r="A19" s="2" t="s">
        <v>12</v>
      </c>
      <c r="B19" s="3">
        <v>20</v>
      </c>
    </row>
    <row r="20" spans="1:2" ht="26.1" customHeight="1">
      <c r="A20" s="2" t="s">
        <v>13</v>
      </c>
      <c r="B20" s="3" t="s">
        <v>14</v>
      </c>
    </row>
    <row r="21" spans="1:2" ht="26.1" customHeight="1">
      <c r="A21" s="2" t="s">
        <v>15</v>
      </c>
      <c r="B21" s="3" t="s">
        <v>16</v>
      </c>
    </row>
    <row r="22" spans="1:2" ht="38.1" customHeight="1">
      <c r="A22" s="2" t="s">
        <v>17</v>
      </c>
      <c r="B22" s="3" t="s">
        <v>18</v>
      </c>
    </row>
    <row r="23" spans="1:2" ht="18">
      <c r="B23" s="3" t="s">
        <v>19</v>
      </c>
    </row>
    <row r="24" spans="1:2" ht="18">
      <c r="B24" s="3" t="s">
        <v>20</v>
      </c>
    </row>
    <row r="25" spans="1:2" ht="18">
      <c r="B25" s="3" t="s">
        <v>21</v>
      </c>
    </row>
    <row r="26" spans="1:2" ht="18">
      <c r="B26" s="3" t="s">
        <v>22</v>
      </c>
    </row>
    <row r="27" spans="1:2" ht="18">
      <c r="B27" s="3"/>
    </row>
  </sheetData>
  <sheetProtection selectLockedCells="1" selectUnlockedCells="1"/>
  <pageMargins left="0.75" right="0.75" top="1" bottom="1" header="0.51181102362204722" footer="0.51181102362204722"/>
  <pageSetup paperSize="9" firstPageNumber="0"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B2EB2-4ACF-4EBC-A93E-C72C46A6BAB5}">
  <dimension ref="A1:I238"/>
  <sheetViews>
    <sheetView tabSelected="1" topLeftCell="A7" zoomScale="140" zoomScaleNormal="140" workbookViewId="0">
      <selection activeCell="F35" sqref="F35"/>
    </sheetView>
  </sheetViews>
  <sheetFormatPr defaultColWidth="8.85546875" defaultRowHeight="12.75" outlineLevelRow="2"/>
  <cols>
    <col min="1" max="1" width="42" customWidth="1"/>
    <col min="2" max="2" width="47.7109375" customWidth="1"/>
    <col min="3" max="3" width="13.28515625" style="1" customWidth="1"/>
    <col min="4" max="4" width="11" style="1" customWidth="1"/>
    <col min="5" max="5" width="11.28515625" style="1" customWidth="1"/>
    <col min="6" max="6" width="12.28515625" style="4" customWidth="1"/>
    <col min="7" max="7" width="48.28515625" customWidth="1"/>
    <col min="8" max="9" width="11.28515625" style="5" customWidth="1"/>
  </cols>
  <sheetData>
    <row r="1" spans="1:9" ht="24.95" customHeight="1">
      <c r="A1" s="2" t="str">
        <f>(Instructions!A19)</f>
        <v>PROJECT NUMBER</v>
      </c>
      <c r="B1" s="6">
        <v>20</v>
      </c>
    </row>
    <row r="2" spans="1:9" ht="26.1" customHeight="1">
      <c r="A2" s="2" t="str">
        <f>(Instructions!A20)</f>
        <v>PROJECT NAME</v>
      </c>
      <c r="B2" s="6" t="s">
        <v>14</v>
      </c>
    </row>
    <row r="3" spans="1:9" ht="30.95" customHeight="1">
      <c r="A3" s="2" t="str">
        <f>(Instructions!A21)</f>
        <v>PROJECT MENTOR (sponsor)</v>
      </c>
      <c r="B3" s="6" t="s">
        <v>23</v>
      </c>
      <c r="C3"/>
    </row>
    <row r="5" spans="1:9" s="12" customFormat="1" ht="38.25">
      <c r="A5" s="7" t="s">
        <v>24</v>
      </c>
      <c r="B5" s="7" t="s">
        <v>25</v>
      </c>
      <c r="C5" s="8" t="s">
        <v>26</v>
      </c>
      <c r="D5" s="9" t="s">
        <v>27</v>
      </c>
      <c r="E5" s="9" t="s">
        <v>28</v>
      </c>
      <c r="F5" s="10" t="s">
        <v>29</v>
      </c>
      <c r="G5" s="7" t="s">
        <v>30</v>
      </c>
      <c r="H5" s="11" t="s">
        <v>31</v>
      </c>
      <c r="I5" s="11" t="s">
        <v>32</v>
      </c>
    </row>
    <row r="6" spans="1:9" s="14" customFormat="1" ht="30.75" customHeight="1" outlineLevel="2">
      <c r="A6" s="13" t="s">
        <v>33</v>
      </c>
      <c r="C6" s="15"/>
      <c r="D6" s="15"/>
      <c r="E6" s="15"/>
      <c r="F6" s="16"/>
      <c r="H6" s="15"/>
      <c r="I6" s="15"/>
    </row>
    <row r="7" spans="1:9" outlineLevel="2">
      <c r="A7" s="17" t="s">
        <v>34</v>
      </c>
      <c r="B7" s="18"/>
      <c r="C7" s="19"/>
      <c r="D7" s="20"/>
      <c r="E7" s="20"/>
      <c r="F7" s="21"/>
      <c r="G7" s="18"/>
      <c r="H7" s="22" t="str">
        <f t="shared" ref="H7:H231" si="0">IF(OR(D7="",E7=""),"",D7-E7)</f>
        <v/>
      </c>
      <c r="I7" s="22" t="str">
        <f t="shared" ref="I7:I238" si="1">IF(OR(H7="",E7=0),"",ABS(H7)/E7*100)</f>
        <v/>
      </c>
    </row>
    <row r="8" spans="1:9" outlineLevel="2">
      <c r="A8" s="23" t="s">
        <v>35</v>
      </c>
      <c r="B8" s="1" t="s">
        <v>36</v>
      </c>
      <c r="C8" s="24" t="s">
        <v>37</v>
      </c>
      <c r="D8" s="1">
        <v>1.5</v>
      </c>
      <c r="E8" s="1">
        <v>1.5</v>
      </c>
      <c r="F8" s="4" t="s">
        <v>38</v>
      </c>
      <c r="G8" s="1" t="s">
        <v>39</v>
      </c>
      <c r="H8" s="22">
        <f t="shared" si="0"/>
        <v>0</v>
      </c>
      <c r="I8" s="22">
        <f t="shared" si="1"/>
        <v>0</v>
      </c>
    </row>
    <row r="9" spans="1:9" outlineLevel="2">
      <c r="A9" t="s">
        <v>40</v>
      </c>
      <c r="B9" s="1" t="s">
        <v>41</v>
      </c>
      <c r="C9" s="24" t="s">
        <v>42</v>
      </c>
      <c r="D9" s="1">
        <v>1</v>
      </c>
      <c r="E9" s="1">
        <v>1.05</v>
      </c>
      <c r="F9" s="4" t="s">
        <v>38</v>
      </c>
      <c r="G9" t="s">
        <v>43</v>
      </c>
      <c r="H9" s="22">
        <f t="shared" si="0"/>
        <v>-5.0000000000000044E-2</v>
      </c>
      <c r="I9" s="22">
        <f t="shared" si="1"/>
        <v>4.7619047619047654</v>
      </c>
    </row>
    <row r="10" spans="1:9" outlineLevel="2">
      <c r="A10" s="25"/>
      <c r="B10" s="1"/>
      <c r="C10" s="24"/>
      <c r="H10" s="22" t="str">
        <f t="shared" si="0"/>
        <v/>
      </c>
      <c r="I10" s="22" t="str">
        <f t="shared" si="1"/>
        <v/>
      </c>
    </row>
    <row r="11" spans="1:9" s="18" customFormat="1" outlineLevel="2">
      <c r="A11" s="17" t="s">
        <v>44</v>
      </c>
      <c r="C11" s="19"/>
      <c r="D11" s="19"/>
      <c r="E11" s="19"/>
      <c r="F11" s="21"/>
      <c r="H11" s="22" t="str">
        <f t="shared" si="0"/>
        <v/>
      </c>
      <c r="I11" s="22" t="str">
        <f t="shared" si="1"/>
        <v/>
      </c>
    </row>
    <row r="12" spans="1:9" outlineLevel="2">
      <c r="A12" s="25" t="s">
        <v>45</v>
      </c>
      <c r="B12" s="1" t="s">
        <v>41</v>
      </c>
      <c r="C12" s="24" t="s">
        <v>37</v>
      </c>
      <c r="F12" s="4" t="s">
        <v>38</v>
      </c>
      <c r="G12" t="s">
        <v>46</v>
      </c>
      <c r="H12" s="22" t="str">
        <f t="shared" si="0"/>
        <v/>
      </c>
      <c r="I12" s="22" t="str">
        <f t="shared" si="1"/>
        <v/>
      </c>
    </row>
    <row r="13" spans="1:9" s="18" customFormat="1" outlineLevel="2">
      <c r="A13" s="25" t="s">
        <v>47</v>
      </c>
      <c r="B13" s="1" t="s">
        <v>48</v>
      </c>
      <c r="C13" s="24" t="s">
        <v>37</v>
      </c>
      <c r="D13" s="1"/>
      <c r="E13" s="1"/>
      <c r="F13" s="4" t="s">
        <v>38</v>
      </c>
      <c r="G13" t="s">
        <v>49</v>
      </c>
      <c r="H13" s="22" t="str">
        <f t="shared" si="0"/>
        <v/>
      </c>
      <c r="I13" s="22" t="str">
        <f t="shared" si="1"/>
        <v/>
      </c>
    </row>
    <row r="14" spans="1:9" s="18" customFormat="1" outlineLevel="2">
      <c r="A14" s="25" t="s">
        <v>50</v>
      </c>
      <c r="B14" s="1" t="s">
        <v>48</v>
      </c>
      <c r="C14" s="24" t="s">
        <v>51</v>
      </c>
      <c r="D14" s="1"/>
      <c r="E14" s="1"/>
      <c r="F14" s="4" t="s">
        <v>38</v>
      </c>
      <c r="G14" t="s">
        <v>49</v>
      </c>
      <c r="H14" s="22" t="str">
        <f t="shared" si="0"/>
        <v/>
      </c>
      <c r="I14" s="22" t="str">
        <f t="shared" si="1"/>
        <v/>
      </c>
    </row>
    <row r="15" spans="1:9" s="18" customFormat="1" ht="36" outlineLevel="2">
      <c r="A15" s="25" t="s">
        <v>52</v>
      </c>
      <c r="B15" s="1" t="s">
        <v>48</v>
      </c>
      <c r="C15" s="24" t="s">
        <v>53</v>
      </c>
      <c r="D15" s="1">
        <v>1</v>
      </c>
      <c r="E15" s="1">
        <v>1</v>
      </c>
      <c r="F15" s="4" t="s">
        <v>38</v>
      </c>
      <c r="G15" t="s">
        <v>49</v>
      </c>
      <c r="H15" s="22">
        <f t="shared" si="0"/>
        <v>0</v>
      </c>
      <c r="I15" s="22">
        <f t="shared" si="1"/>
        <v>0</v>
      </c>
    </row>
    <row r="16" spans="1:9" s="18" customFormat="1" outlineLevel="2">
      <c r="A16" s="25" t="s">
        <v>54</v>
      </c>
      <c r="B16" s="1" t="s">
        <v>48</v>
      </c>
      <c r="C16" s="24" t="s">
        <v>55</v>
      </c>
      <c r="D16" s="1"/>
      <c r="E16" s="1"/>
      <c r="F16" s="4" t="s">
        <v>38</v>
      </c>
      <c r="G16" t="s">
        <v>49</v>
      </c>
      <c r="H16" s="22" t="str">
        <f t="shared" si="0"/>
        <v/>
      </c>
      <c r="I16" s="22" t="str">
        <f t="shared" si="1"/>
        <v/>
      </c>
    </row>
    <row r="17" spans="1:9" s="18" customFormat="1" ht="38.25" outlineLevel="2">
      <c r="A17" s="25" t="s">
        <v>56</v>
      </c>
      <c r="B17" s="1" t="s">
        <v>48</v>
      </c>
      <c r="C17" s="24" t="s">
        <v>42</v>
      </c>
      <c r="D17" s="1">
        <v>1</v>
      </c>
      <c r="E17" s="1">
        <v>2.75</v>
      </c>
      <c r="F17" s="4" t="s">
        <v>38</v>
      </c>
      <c r="G17" t="s">
        <v>49</v>
      </c>
      <c r="H17" s="22">
        <f t="shared" si="0"/>
        <v>-1.75</v>
      </c>
      <c r="I17" s="22">
        <f t="shared" si="1"/>
        <v>63.636363636363633</v>
      </c>
    </row>
    <row r="18" spans="1:9" ht="38.25" outlineLevel="2">
      <c r="A18" s="25" t="s">
        <v>57</v>
      </c>
      <c r="B18" s="1" t="s">
        <v>36</v>
      </c>
      <c r="C18" s="1" t="s">
        <v>37</v>
      </c>
      <c r="F18" s="4" t="s">
        <v>38</v>
      </c>
      <c r="H18" s="22" t="str">
        <f t="shared" si="0"/>
        <v/>
      </c>
      <c r="I18" s="22" t="str">
        <f t="shared" si="1"/>
        <v/>
      </c>
    </row>
    <row r="19" spans="1:9" outlineLevel="2">
      <c r="A19" s="25" t="s">
        <v>58</v>
      </c>
      <c r="B19" s="1" t="s">
        <v>36</v>
      </c>
      <c r="C19" s="1" t="s">
        <v>59</v>
      </c>
      <c r="D19" s="1">
        <v>1</v>
      </c>
      <c r="E19" s="1">
        <v>1</v>
      </c>
      <c r="F19" s="4" t="s">
        <v>38</v>
      </c>
      <c r="G19" t="s">
        <v>60</v>
      </c>
      <c r="H19" s="22">
        <f t="shared" si="0"/>
        <v>0</v>
      </c>
      <c r="I19" s="22">
        <f t="shared" si="1"/>
        <v>0</v>
      </c>
    </row>
    <row r="20" spans="1:9" outlineLevel="2">
      <c r="A20" s="25"/>
      <c r="B20" s="1"/>
      <c r="H20" s="22" t="str">
        <f t="shared" si="0"/>
        <v/>
      </c>
      <c r="I20" s="22" t="str">
        <f t="shared" si="1"/>
        <v/>
      </c>
    </row>
    <row r="21" spans="1:9" s="18" customFormat="1" outlineLevel="2">
      <c r="A21" s="17" t="s">
        <v>61</v>
      </c>
      <c r="C21" s="19"/>
      <c r="D21" s="19"/>
      <c r="E21" s="19"/>
      <c r="F21" s="21"/>
      <c r="H21" s="22" t="str">
        <f t="shared" si="0"/>
        <v/>
      </c>
      <c r="I21" s="22" t="str">
        <f t="shared" si="1"/>
        <v/>
      </c>
    </row>
    <row r="22" spans="1:9">
      <c r="A22" t="s">
        <v>62</v>
      </c>
      <c r="B22" s="1" t="s">
        <v>36</v>
      </c>
      <c r="C22" s="1" t="s">
        <v>63</v>
      </c>
      <c r="D22">
        <v>1</v>
      </c>
      <c r="E22">
        <v>1</v>
      </c>
      <c r="F22" s="4" t="s">
        <v>38</v>
      </c>
      <c r="H22" s="22">
        <f t="shared" si="0"/>
        <v>0</v>
      </c>
      <c r="I22" s="22">
        <f t="shared" si="1"/>
        <v>0</v>
      </c>
    </row>
    <row r="23" spans="1:9">
      <c r="A23" t="s">
        <v>64</v>
      </c>
      <c r="B23" s="1" t="s">
        <v>41</v>
      </c>
      <c r="C23" s="1" t="s">
        <v>55</v>
      </c>
      <c r="F23" s="4" t="s">
        <v>38</v>
      </c>
      <c r="H23" s="22" t="str">
        <f t="shared" si="0"/>
        <v/>
      </c>
      <c r="I23" s="22" t="str">
        <f t="shared" si="1"/>
        <v/>
      </c>
    </row>
    <row r="24" spans="1:9">
      <c r="H24" s="22" t="str">
        <f t="shared" si="0"/>
        <v/>
      </c>
      <c r="I24" s="22" t="str">
        <f t="shared" si="1"/>
        <v/>
      </c>
    </row>
    <row r="25" spans="1:9">
      <c r="A25" s="17" t="s">
        <v>65</v>
      </c>
      <c r="B25" s="18"/>
      <c r="C25" s="19"/>
      <c r="D25" s="19"/>
      <c r="E25" s="19"/>
      <c r="F25" s="21"/>
      <c r="G25" s="18"/>
      <c r="H25" s="22" t="str">
        <f t="shared" si="0"/>
        <v/>
      </c>
      <c r="I25" s="22" t="str">
        <f t="shared" si="1"/>
        <v/>
      </c>
    </row>
    <row r="26" spans="1:9">
      <c r="A26" s="23" t="s">
        <v>66</v>
      </c>
      <c r="B26" s="1" t="s">
        <v>48</v>
      </c>
      <c r="C26" s="1" t="s">
        <v>37</v>
      </c>
      <c r="D26" s="1">
        <v>10</v>
      </c>
      <c r="F26" s="4" t="s">
        <v>67</v>
      </c>
      <c r="H26" s="22" t="str">
        <f t="shared" si="0"/>
        <v/>
      </c>
      <c r="I26" s="22" t="str">
        <f t="shared" si="1"/>
        <v/>
      </c>
    </row>
    <row r="27" spans="1:9">
      <c r="A27" s="23" t="s">
        <v>68</v>
      </c>
      <c r="B27" s="1" t="s">
        <v>48</v>
      </c>
      <c r="C27" s="24" t="s">
        <v>51</v>
      </c>
      <c r="F27" s="27" t="s">
        <v>38</v>
      </c>
      <c r="G27" s="1"/>
      <c r="H27" s="22" t="str">
        <f t="shared" si="0"/>
        <v/>
      </c>
      <c r="I27" s="22" t="str">
        <f t="shared" si="1"/>
        <v/>
      </c>
    </row>
    <row r="28" spans="1:9">
      <c r="A28" s="23" t="s">
        <v>69</v>
      </c>
      <c r="B28" s="1" t="s">
        <v>48</v>
      </c>
      <c r="C28" s="24" t="s">
        <v>53</v>
      </c>
      <c r="D28" s="1">
        <v>2</v>
      </c>
      <c r="E28" s="1">
        <v>3</v>
      </c>
      <c r="F28" s="4" t="s">
        <v>38</v>
      </c>
      <c r="G28" s="1" t="s">
        <v>70</v>
      </c>
      <c r="H28" s="22">
        <f t="shared" si="0"/>
        <v>-1</v>
      </c>
      <c r="I28" s="22">
        <f t="shared" si="1"/>
        <v>33.333333333333329</v>
      </c>
    </row>
    <row r="29" spans="1:9">
      <c r="A29" s="23" t="s">
        <v>71</v>
      </c>
      <c r="B29" s="1" t="s">
        <v>48</v>
      </c>
      <c r="C29" s="24" t="s">
        <v>42</v>
      </c>
      <c r="D29" s="1">
        <v>2</v>
      </c>
      <c r="E29" s="1">
        <v>2.5</v>
      </c>
      <c r="F29" s="4" t="s">
        <v>38</v>
      </c>
      <c r="G29" s="1"/>
      <c r="H29" s="22">
        <f t="shared" si="0"/>
        <v>-0.5</v>
      </c>
      <c r="I29" s="22">
        <f t="shared" si="1"/>
        <v>20</v>
      </c>
    </row>
    <row r="30" spans="1:9">
      <c r="A30" s="23" t="s">
        <v>72</v>
      </c>
      <c r="B30" s="1" t="s">
        <v>36</v>
      </c>
      <c r="C30" s="24" t="s">
        <v>59</v>
      </c>
      <c r="D30" s="1">
        <v>2</v>
      </c>
      <c r="E30" s="1">
        <v>2</v>
      </c>
      <c r="F30" s="4" t="s">
        <v>38</v>
      </c>
      <c r="G30" s="1" t="s">
        <v>73</v>
      </c>
      <c r="H30" s="22">
        <f t="shared" si="0"/>
        <v>0</v>
      </c>
      <c r="I30" s="22">
        <f t="shared" si="1"/>
        <v>0</v>
      </c>
    </row>
    <row r="31" spans="1:9">
      <c r="A31" s="23" t="s">
        <v>74</v>
      </c>
      <c r="B31" s="1" t="s">
        <v>48</v>
      </c>
      <c r="C31" s="24" t="s">
        <v>55</v>
      </c>
      <c r="F31" s="4" t="s">
        <v>38</v>
      </c>
      <c r="G31" s="1"/>
      <c r="H31" s="22" t="str">
        <f t="shared" si="0"/>
        <v/>
      </c>
      <c r="I31" s="22" t="str">
        <f t="shared" si="1"/>
        <v/>
      </c>
    </row>
    <row r="32" spans="1:9">
      <c r="A32" t="s">
        <v>75</v>
      </c>
      <c r="B32" s="1" t="s">
        <v>48</v>
      </c>
      <c r="C32" s="1" t="s">
        <v>51</v>
      </c>
      <c r="F32" s="4" t="s">
        <v>38</v>
      </c>
      <c r="H32" s="22" t="str">
        <f t="shared" si="0"/>
        <v/>
      </c>
      <c r="I32" s="22" t="str">
        <f t="shared" si="1"/>
        <v/>
      </c>
    </row>
    <row r="33" spans="1:9">
      <c r="A33" t="s">
        <v>76</v>
      </c>
      <c r="B33" s="1" t="s">
        <v>48</v>
      </c>
      <c r="C33" s="1" t="s">
        <v>55</v>
      </c>
      <c r="F33" s="4" t="s">
        <v>38</v>
      </c>
      <c r="H33" s="22" t="str">
        <f t="shared" si="0"/>
        <v/>
      </c>
      <c r="I33" s="22" t="str">
        <f t="shared" si="1"/>
        <v/>
      </c>
    </row>
    <row r="34" spans="1:9">
      <c r="A34" s="23" t="s">
        <v>77</v>
      </c>
      <c r="B34" s="1" t="s">
        <v>36</v>
      </c>
      <c r="C34" s="24" t="s">
        <v>78</v>
      </c>
      <c r="D34" s="1">
        <v>2</v>
      </c>
      <c r="E34" s="1">
        <v>3</v>
      </c>
      <c r="F34" s="4" t="s">
        <v>38</v>
      </c>
      <c r="G34" s="1" t="s">
        <v>79</v>
      </c>
      <c r="H34" s="22">
        <f t="shared" si="0"/>
        <v>-1</v>
      </c>
      <c r="I34" s="22">
        <f t="shared" si="1"/>
        <v>33.333333333333329</v>
      </c>
    </row>
    <row r="35" spans="1:9">
      <c r="A35" t="s">
        <v>80</v>
      </c>
      <c r="B35" s="1" t="s">
        <v>48</v>
      </c>
      <c r="C35" s="1" t="s">
        <v>53</v>
      </c>
      <c r="D35" s="1">
        <v>1</v>
      </c>
      <c r="E35" s="1">
        <v>1.5</v>
      </c>
      <c r="F35" s="4" t="s">
        <v>38</v>
      </c>
      <c r="G35" s="4" t="s">
        <v>81</v>
      </c>
      <c r="H35" s="22">
        <f t="shared" si="0"/>
        <v>-0.5</v>
      </c>
      <c r="I35" s="22">
        <f t="shared" si="1"/>
        <v>33.333333333333329</v>
      </c>
    </row>
    <row r="36" spans="1:9">
      <c r="A36" t="s">
        <v>82</v>
      </c>
      <c r="B36" s="1" t="s">
        <v>48</v>
      </c>
      <c r="C36" s="1" t="s">
        <v>55</v>
      </c>
      <c r="F36" s="4" t="s">
        <v>38</v>
      </c>
      <c r="H36" s="22" t="str">
        <f t="shared" si="0"/>
        <v/>
      </c>
      <c r="I36" s="22" t="str">
        <f t="shared" si="1"/>
        <v/>
      </c>
    </row>
    <row r="37" spans="1:9">
      <c r="A37" t="s">
        <v>83</v>
      </c>
      <c r="B37" s="1" t="s">
        <v>48</v>
      </c>
      <c r="C37" s="1" t="s">
        <v>37</v>
      </c>
      <c r="D37" s="1">
        <v>1</v>
      </c>
      <c r="E37" s="1">
        <v>1</v>
      </c>
      <c r="F37" s="4" t="s">
        <v>38</v>
      </c>
      <c r="H37" s="22">
        <f t="shared" si="0"/>
        <v>0</v>
      </c>
      <c r="I37" s="22">
        <f t="shared" si="1"/>
        <v>0</v>
      </c>
    </row>
    <row r="38" spans="1:9">
      <c r="A38" t="s">
        <v>84</v>
      </c>
      <c r="B38" s="1" t="s">
        <v>48</v>
      </c>
      <c r="C38" s="1" t="s">
        <v>51</v>
      </c>
      <c r="F38" s="4" t="s">
        <v>38</v>
      </c>
      <c r="H38" s="22" t="str">
        <f t="shared" si="0"/>
        <v/>
      </c>
      <c r="I38" s="22" t="str">
        <f t="shared" si="1"/>
        <v/>
      </c>
    </row>
    <row r="39" spans="1:9">
      <c r="B39" s="1"/>
      <c r="H39" s="22" t="str">
        <f t="shared" si="0"/>
        <v/>
      </c>
      <c r="I39" s="22" t="str">
        <f t="shared" si="1"/>
        <v/>
      </c>
    </row>
    <row r="40" spans="1:9">
      <c r="A40" s="17" t="s">
        <v>85</v>
      </c>
      <c r="B40" s="18"/>
      <c r="C40" s="19"/>
      <c r="D40" s="19"/>
      <c r="E40" s="19"/>
      <c r="F40" s="21"/>
      <c r="G40" s="18"/>
      <c r="H40" s="22" t="str">
        <f t="shared" si="0"/>
        <v/>
      </c>
      <c r="I40" s="22" t="str">
        <f t="shared" si="1"/>
        <v/>
      </c>
    </row>
    <row r="41" spans="1:9">
      <c r="A41" t="s">
        <v>86</v>
      </c>
      <c r="B41" s="1" t="s">
        <v>41</v>
      </c>
      <c r="C41" s="1" t="s">
        <v>42</v>
      </c>
      <c r="D41" s="1">
        <v>3</v>
      </c>
      <c r="F41" s="26" t="s">
        <v>87</v>
      </c>
      <c r="H41" s="22" t="str">
        <f t="shared" si="0"/>
        <v/>
      </c>
      <c r="I41" s="22" t="str">
        <f t="shared" si="1"/>
        <v/>
      </c>
    </row>
    <row r="42" spans="1:9">
      <c r="H42" s="22" t="str">
        <f t="shared" si="0"/>
        <v/>
      </c>
      <c r="I42" s="22" t="str">
        <f t="shared" si="1"/>
        <v/>
      </c>
    </row>
    <row r="43" spans="1:9">
      <c r="H43" s="22" t="str">
        <f t="shared" si="0"/>
        <v/>
      </c>
      <c r="I43" s="22" t="str">
        <f t="shared" si="1"/>
        <v/>
      </c>
    </row>
    <row r="44" spans="1:9">
      <c r="A44" s="17" t="s">
        <v>88</v>
      </c>
      <c r="B44" s="18"/>
      <c r="C44" s="19"/>
      <c r="D44" s="19"/>
      <c r="E44" s="19"/>
      <c r="F44" s="21"/>
      <c r="G44" s="18"/>
      <c r="H44" s="22" t="str">
        <f t="shared" si="0"/>
        <v/>
      </c>
      <c r="I44" s="22" t="str">
        <f t="shared" si="1"/>
        <v/>
      </c>
    </row>
    <row r="45" spans="1:9">
      <c r="H45" s="22" t="str">
        <f t="shared" si="0"/>
        <v/>
      </c>
      <c r="I45" s="22" t="str">
        <f t="shared" si="1"/>
        <v/>
      </c>
    </row>
    <row r="46" spans="1:9">
      <c r="H46" s="22" t="str">
        <f t="shared" si="0"/>
        <v/>
      </c>
      <c r="I46" s="22" t="str">
        <f t="shared" si="1"/>
        <v/>
      </c>
    </row>
    <row r="47" spans="1:9">
      <c r="H47" s="22" t="str">
        <f t="shared" si="0"/>
        <v/>
      </c>
      <c r="I47" s="22" t="str">
        <f t="shared" si="1"/>
        <v/>
      </c>
    </row>
    <row r="48" spans="1:9">
      <c r="H48" s="22" t="str">
        <f t="shared" si="0"/>
        <v/>
      </c>
      <c r="I48" s="22" t="str">
        <f t="shared" si="1"/>
        <v/>
      </c>
    </row>
    <row r="49" spans="8:9">
      <c r="H49" s="22" t="str">
        <f t="shared" si="0"/>
        <v/>
      </c>
      <c r="I49" s="22" t="str">
        <f t="shared" si="1"/>
        <v/>
      </c>
    </row>
    <row r="50" spans="8:9">
      <c r="H50" s="22" t="str">
        <f t="shared" si="0"/>
        <v/>
      </c>
      <c r="I50" s="22" t="str">
        <f t="shared" si="1"/>
        <v/>
      </c>
    </row>
    <row r="51" spans="8:9">
      <c r="H51" s="22" t="str">
        <f t="shared" si="0"/>
        <v/>
      </c>
      <c r="I51" s="22" t="str">
        <f t="shared" si="1"/>
        <v/>
      </c>
    </row>
    <row r="52" spans="8:9">
      <c r="H52" s="22" t="str">
        <f t="shared" si="0"/>
        <v/>
      </c>
      <c r="I52" s="22" t="str">
        <f t="shared" si="1"/>
        <v/>
      </c>
    </row>
    <row r="53" spans="8:9">
      <c r="H53" s="22" t="str">
        <f t="shared" si="0"/>
        <v/>
      </c>
      <c r="I53" s="22" t="str">
        <f t="shared" si="1"/>
        <v/>
      </c>
    </row>
    <row r="54" spans="8:9">
      <c r="H54" s="22" t="str">
        <f t="shared" si="0"/>
        <v/>
      </c>
      <c r="I54" s="22" t="str">
        <f t="shared" si="1"/>
        <v/>
      </c>
    </row>
    <row r="55" spans="8:9">
      <c r="H55" s="22" t="str">
        <f t="shared" si="0"/>
        <v/>
      </c>
      <c r="I55" s="22" t="str">
        <f t="shared" si="1"/>
        <v/>
      </c>
    </row>
    <row r="56" spans="8:9">
      <c r="H56" s="22" t="str">
        <f t="shared" si="0"/>
        <v/>
      </c>
      <c r="I56" s="22" t="str">
        <f t="shared" si="1"/>
        <v/>
      </c>
    </row>
    <row r="57" spans="8:9">
      <c r="H57" s="22" t="str">
        <f t="shared" si="0"/>
        <v/>
      </c>
      <c r="I57" s="22" t="str">
        <f t="shared" si="1"/>
        <v/>
      </c>
    </row>
    <row r="58" spans="8:9">
      <c r="H58" s="22" t="str">
        <f t="shared" si="0"/>
        <v/>
      </c>
      <c r="I58" s="22" t="str">
        <f t="shared" si="1"/>
        <v/>
      </c>
    </row>
    <row r="59" spans="8:9">
      <c r="H59" s="22" t="str">
        <f t="shared" si="0"/>
        <v/>
      </c>
      <c r="I59" s="22" t="str">
        <f t="shared" si="1"/>
        <v/>
      </c>
    </row>
    <row r="60" spans="8:9">
      <c r="H60" s="22" t="str">
        <f t="shared" si="0"/>
        <v/>
      </c>
      <c r="I60" s="22" t="str">
        <f t="shared" si="1"/>
        <v/>
      </c>
    </row>
    <row r="61" spans="8:9">
      <c r="H61" s="22" t="str">
        <f t="shared" si="0"/>
        <v/>
      </c>
      <c r="I61" s="22" t="str">
        <f t="shared" si="1"/>
        <v/>
      </c>
    </row>
    <row r="62" spans="8:9">
      <c r="H62" s="22" t="str">
        <f t="shared" si="0"/>
        <v/>
      </c>
      <c r="I62" s="22" t="str">
        <f t="shared" si="1"/>
        <v/>
      </c>
    </row>
    <row r="63" spans="8:9">
      <c r="H63" s="22" t="str">
        <f t="shared" si="0"/>
        <v/>
      </c>
      <c r="I63" s="22" t="str">
        <f t="shared" si="1"/>
        <v/>
      </c>
    </row>
    <row r="64" spans="8:9">
      <c r="H64" s="22" t="str">
        <f t="shared" si="0"/>
        <v/>
      </c>
      <c r="I64" s="22" t="str">
        <f t="shared" si="1"/>
        <v/>
      </c>
    </row>
    <row r="65" spans="8:9">
      <c r="H65" s="22" t="str">
        <f t="shared" si="0"/>
        <v/>
      </c>
      <c r="I65" s="22" t="str">
        <f t="shared" si="1"/>
        <v/>
      </c>
    </row>
    <row r="66" spans="8:9">
      <c r="H66" s="22" t="str">
        <f t="shared" si="0"/>
        <v/>
      </c>
      <c r="I66" s="22" t="str">
        <f t="shared" si="1"/>
        <v/>
      </c>
    </row>
    <row r="67" spans="8:9">
      <c r="H67" s="22" t="str">
        <f t="shared" si="0"/>
        <v/>
      </c>
      <c r="I67" s="22" t="str">
        <f t="shared" si="1"/>
        <v/>
      </c>
    </row>
    <row r="68" spans="8:9">
      <c r="H68" s="22" t="str">
        <f t="shared" si="0"/>
        <v/>
      </c>
      <c r="I68" s="22" t="str">
        <f t="shared" si="1"/>
        <v/>
      </c>
    </row>
    <row r="69" spans="8:9">
      <c r="H69" s="22" t="str">
        <f t="shared" si="0"/>
        <v/>
      </c>
      <c r="I69" s="22" t="str">
        <f t="shared" si="1"/>
        <v/>
      </c>
    </row>
    <row r="70" spans="8:9">
      <c r="H70" s="22" t="str">
        <f t="shared" si="0"/>
        <v/>
      </c>
      <c r="I70" s="22" t="str">
        <f t="shared" si="1"/>
        <v/>
      </c>
    </row>
    <row r="71" spans="8:9">
      <c r="H71" s="22" t="str">
        <f t="shared" si="0"/>
        <v/>
      </c>
      <c r="I71" s="22" t="str">
        <f t="shared" si="1"/>
        <v/>
      </c>
    </row>
    <row r="72" spans="8:9">
      <c r="H72" s="22" t="str">
        <f t="shared" si="0"/>
        <v/>
      </c>
      <c r="I72" s="22" t="str">
        <f t="shared" si="1"/>
        <v/>
      </c>
    </row>
    <row r="73" spans="8:9">
      <c r="H73" s="22" t="str">
        <f t="shared" si="0"/>
        <v/>
      </c>
      <c r="I73" s="22" t="str">
        <f t="shared" si="1"/>
        <v/>
      </c>
    </row>
    <row r="74" spans="8:9">
      <c r="H74" s="22" t="str">
        <f t="shared" si="0"/>
        <v/>
      </c>
      <c r="I74" s="22" t="str">
        <f t="shared" si="1"/>
        <v/>
      </c>
    </row>
    <row r="75" spans="8:9">
      <c r="H75" s="22" t="str">
        <f t="shared" si="0"/>
        <v/>
      </c>
      <c r="I75" s="22" t="str">
        <f t="shared" si="1"/>
        <v/>
      </c>
    </row>
    <row r="76" spans="8:9">
      <c r="H76" s="22" t="str">
        <f t="shared" si="0"/>
        <v/>
      </c>
      <c r="I76" s="22" t="str">
        <f t="shared" si="1"/>
        <v/>
      </c>
    </row>
    <row r="77" spans="8:9">
      <c r="H77" s="22" t="str">
        <f t="shared" si="0"/>
        <v/>
      </c>
      <c r="I77" s="22" t="str">
        <f t="shared" si="1"/>
        <v/>
      </c>
    </row>
    <row r="78" spans="8:9">
      <c r="H78" s="22" t="str">
        <f t="shared" si="0"/>
        <v/>
      </c>
      <c r="I78" s="22" t="str">
        <f t="shared" si="1"/>
        <v/>
      </c>
    </row>
    <row r="79" spans="8:9">
      <c r="H79" s="22" t="str">
        <f t="shared" si="0"/>
        <v/>
      </c>
      <c r="I79" s="22" t="str">
        <f t="shared" si="1"/>
        <v/>
      </c>
    </row>
    <row r="80" spans="8:9">
      <c r="H80" s="22" t="str">
        <f t="shared" si="0"/>
        <v/>
      </c>
      <c r="I80" s="22" t="str">
        <f t="shared" si="1"/>
        <v/>
      </c>
    </row>
    <row r="81" spans="8:9">
      <c r="H81" s="22" t="str">
        <f t="shared" si="0"/>
        <v/>
      </c>
      <c r="I81" s="22" t="str">
        <f t="shared" si="1"/>
        <v/>
      </c>
    </row>
    <row r="82" spans="8:9">
      <c r="H82" s="22" t="str">
        <f t="shared" si="0"/>
        <v/>
      </c>
      <c r="I82" s="22" t="str">
        <f t="shared" si="1"/>
        <v/>
      </c>
    </row>
    <row r="83" spans="8:9">
      <c r="H83" s="22" t="str">
        <f t="shared" si="0"/>
        <v/>
      </c>
      <c r="I83" s="22" t="str">
        <f t="shared" si="1"/>
        <v/>
      </c>
    </row>
    <row r="84" spans="8:9">
      <c r="H84" s="22" t="str">
        <f t="shared" si="0"/>
        <v/>
      </c>
      <c r="I84" s="22" t="str">
        <f t="shared" si="1"/>
        <v/>
      </c>
    </row>
    <row r="85" spans="8:9">
      <c r="H85" s="22" t="str">
        <f t="shared" si="0"/>
        <v/>
      </c>
      <c r="I85" s="22" t="str">
        <f t="shared" si="1"/>
        <v/>
      </c>
    </row>
    <row r="86" spans="8:9">
      <c r="H86" s="22" t="str">
        <f t="shared" si="0"/>
        <v/>
      </c>
      <c r="I86" s="22" t="str">
        <f t="shared" si="1"/>
        <v/>
      </c>
    </row>
    <row r="87" spans="8:9">
      <c r="H87" s="22" t="str">
        <f t="shared" si="0"/>
        <v/>
      </c>
      <c r="I87" s="22" t="str">
        <f t="shared" si="1"/>
        <v/>
      </c>
    </row>
    <row r="88" spans="8:9">
      <c r="H88" s="22" t="str">
        <f t="shared" si="0"/>
        <v/>
      </c>
      <c r="I88" s="22" t="str">
        <f t="shared" si="1"/>
        <v/>
      </c>
    </row>
    <row r="89" spans="8:9">
      <c r="H89" s="22" t="str">
        <f t="shared" si="0"/>
        <v/>
      </c>
      <c r="I89" s="22" t="str">
        <f t="shared" si="1"/>
        <v/>
      </c>
    </row>
    <row r="90" spans="8:9">
      <c r="H90" s="22" t="str">
        <f t="shared" si="0"/>
        <v/>
      </c>
      <c r="I90" s="22" t="str">
        <f t="shared" si="1"/>
        <v/>
      </c>
    </row>
    <row r="91" spans="8:9">
      <c r="H91" s="22" t="str">
        <f t="shared" si="0"/>
        <v/>
      </c>
      <c r="I91" s="22" t="str">
        <f t="shared" si="1"/>
        <v/>
      </c>
    </row>
    <row r="92" spans="8:9">
      <c r="H92" s="22" t="str">
        <f t="shared" si="0"/>
        <v/>
      </c>
      <c r="I92" s="22" t="str">
        <f t="shared" si="1"/>
        <v/>
      </c>
    </row>
    <row r="93" spans="8:9">
      <c r="H93" s="22" t="str">
        <f t="shared" si="0"/>
        <v/>
      </c>
      <c r="I93" s="22" t="str">
        <f t="shared" si="1"/>
        <v/>
      </c>
    </row>
    <row r="94" spans="8:9">
      <c r="H94" s="22" t="str">
        <f t="shared" si="0"/>
        <v/>
      </c>
      <c r="I94" s="22" t="str">
        <f t="shared" si="1"/>
        <v/>
      </c>
    </row>
    <row r="95" spans="8:9">
      <c r="H95" s="22" t="str">
        <f t="shared" si="0"/>
        <v/>
      </c>
      <c r="I95" s="22" t="str">
        <f t="shared" si="1"/>
        <v/>
      </c>
    </row>
    <row r="96" spans="8:9">
      <c r="H96" s="22" t="str">
        <f t="shared" si="0"/>
        <v/>
      </c>
      <c r="I96" s="22" t="str">
        <f t="shared" si="1"/>
        <v/>
      </c>
    </row>
    <row r="97" spans="8:9">
      <c r="H97" s="22" t="str">
        <f t="shared" si="0"/>
        <v/>
      </c>
      <c r="I97" s="22" t="str">
        <f t="shared" si="1"/>
        <v/>
      </c>
    </row>
    <row r="98" spans="8:9">
      <c r="H98" s="22" t="str">
        <f t="shared" si="0"/>
        <v/>
      </c>
      <c r="I98" s="22" t="str">
        <f t="shared" si="1"/>
        <v/>
      </c>
    </row>
    <row r="99" spans="8:9">
      <c r="H99" s="22" t="str">
        <f t="shared" si="0"/>
        <v/>
      </c>
      <c r="I99" s="22" t="str">
        <f t="shared" si="1"/>
        <v/>
      </c>
    </row>
    <row r="100" spans="8:9">
      <c r="H100" s="22" t="str">
        <f t="shared" si="0"/>
        <v/>
      </c>
      <c r="I100" s="22" t="str">
        <f t="shared" si="1"/>
        <v/>
      </c>
    </row>
    <row r="101" spans="8:9">
      <c r="H101" s="22" t="str">
        <f t="shared" si="0"/>
        <v/>
      </c>
      <c r="I101" s="22" t="str">
        <f t="shared" si="1"/>
        <v/>
      </c>
    </row>
    <row r="102" spans="8:9">
      <c r="H102" s="22" t="str">
        <f t="shared" si="0"/>
        <v/>
      </c>
      <c r="I102" s="22" t="str">
        <f t="shared" si="1"/>
        <v/>
      </c>
    </row>
    <row r="103" spans="8:9">
      <c r="H103" s="22" t="str">
        <f t="shared" si="0"/>
        <v/>
      </c>
      <c r="I103" s="22" t="str">
        <f t="shared" si="1"/>
        <v/>
      </c>
    </row>
    <row r="104" spans="8:9">
      <c r="H104" s="22" t="str">
        <f t="shared" si="0"/>
        <v/>
      </c>
      <c r="I104" s="22" t="str">
        <f t="shared" si="1"/>
        <v/>
      </c>
    </row>
    <row r="105" spans="8:9">
      <c r="H105" s="22" t="str">
        <f t="shared" si="0"/>
        <v/>
      </c>
      <c r="I105" s="22" t="str">
        <f t="shared" si="1"/>
        <v/>
      </c>
    </row>
    <row r="106" spans="8:9">
      <c r="H106" s="22" t="str">
        <f t="shared" si="0"/>
        <v/>
      </c>
      <c r="I106" s="22" t="str">
        <f t="shared" si="1"/>
        <v/>
      </c>
    </row>
    <row r="107" spans="8:9">
      <c r="H107" s="22" t="str">
        <f t="shared" si="0"/>
        <v/>
      </c>
      <c r="I107" s="22" t="str">
        <f t="shared" si="1"/>
        <v/>
      </c>
    </row>
    <row r="108" spans="8:9">
      <c r="H108" s="22" t="str">
        <f t="shared" si="0"/>
        <v/>
      </c>
      <c r="I108" s="22" t="str">
        <f t="shared" si="1"/>
        <v/>
      </c>
    </row>
    <row r="109" spans="8:9">
      <c r="H109" s="22" t="str">
        <f t="shared" si="0"/>
        <v/>
      </c>
      <c r="I109" s="22" t="str">
        <f t="shared" si="1"/>
        <v/>
      </c>
    </row>
    <row r="110" spans="8:9">
      <c r="H110" s="22" t="str">
        <f t="shared" si="0"/>
        <v/>
      </c>
      <c r="I110" s="22" t="str">
        <f t="shared" si="1"/>
        <v/>
      </c>
    </row>
    <row r="111" spans="8:9">
      <c r="H111" s="22" t="str">
        <f t="shared" si="0"/>
        <v/>
      </c>
      <c r="I111" s="22" t="str">
        <f t="shared" si="1"/>
        <v/>
      </c>
    </row>
    <row r="112" spans="8:9">
      <c r="H112" s="22" t="str">
        <f t="shared" si="0"/>
        <v/>
      </c>
      <c r="I112" s="22" t="str">
        <f t="shared" si="1"/>
        <v/>
      </c>
    </row>
    <row r="113" spans="8:9">
      <c r="H113" s="22" t="str">
        <f t="shared" si="0"/>
        <v/>
      </c>
      <c r="I113" s="22" t="str">
        <f t="shared" si="1"/>
        <v/>
      </c>
    </row>
    <row r="114" spans="8:9">
      <c r="H114" s="22" t="str">
        <f t="shared" si="0"/>
        <v/>
      </c>
      <c r="I114" s="22" t="str">
        <f t="shared" si="1"/>
        <v/>
      </c>
    </row>
    <row r="115" spans="8:9">
      <c r="H115" s="22" t="str">
        <f t="shared" si="0"/>
        <v/>
      </c>
      <c r="I115" s="22" t="str">
        <f t="shared" si="1"/>
        <v/>
      </c>
    </row>
    <row r="116" spans="8:9">
      <c r="H116" s="22" t="str">
        <f t="shared" si="0"/>
        <v/>
      </c>
      <c r="I116" s="22" t="str">
        <f t="shared" si="1"/>
        <v/>
      </c>
    </row>
    <row r="117" spans="8:9">
      <c r="H117" s="22" t="str">
        <f t="shared" si="0"/>
        <v/>
      </c>
      <c r="I117" s="22" t="str">
        <f t="shared" si="1"/>
        <v/>
      </c>
    </row>
    <row r="118" spans="8:9">
      <c r="H118" s="22" t="str">
        <f t="shared" si="0"/>
        <v/>
      </c>
      <c r="I118" s="22" t="str">
        <f t="shared" si="1"/>
        <v/>
      </c>
    </row>
    <row r="119" spans="8:9">
      <c r="H119" s="22" t="str">
        <f t="shared" si="0"/>
        <v/>
      </c>
      <c r="I119" s="22" t="str">
        <f t="shared" si="1"/>
        <v/>
      </c>
    </row>
    <row r="120" spans="8:9">
      <c r="H120" s="22" t="str">
        <f t="shared" si="0"/>
        <v/>
      </c>
      <c r="I120" s="22" t="str">
        <f t="shared" si="1"/>
        <v/>
      </c>
    </row>
    <row r="121" spans="8:9">
      <c r="H121" s="22" t="str">
        <f t="shared" si="0"/>
        <v/>
      </c>
      <c r="I121" s="22" t="str">
        <f t="shared" si="1"/>
        <v/>
      </c>
    </row>
    <row r="122" spans="8:9">
      <c r="H122" s="22" t="str">
        <f t="shared" si="0"/>
        <v/>
      </c>
      <c r="I122" s="22" t="str">
        <f t="shared" si="1"/>
        <v/>
      </c>
    </row>
    <row r="123" spans="8:9">
      <c r="H123" s="22" t="str">
        <f t="shared" si="0"/>
        <v/>
      </c>
      <c r="I123" s="22" t="str">
        <f t="shared" si="1"/>
        <v/>
      </c>
    </row>
    <row r="124" spans="8:9">
      <c r="H124" s="22" t="str">
        <f t="shared" si="0"/>
        <v/>
      </c>
      <c r="I124" s="22" t="str">
        <f t="shared" si="1"/>
        <v/>
      </c>
    </row>
    <row r="125" spans="8:9">
      <c r="H125" s="22" t="str">
        <f t="shared" si="0"/>
        <v/>
      </c>
      <c r="I125" s="22" t="str">
        <f t="shared" si="1"/>
        <v/>
      </c>
    </row>
    <row r="126" spans="8:9">
      <c r="H126" s="22" t="str">
        <f t="shared" si="0"/>
        <v/>
      </c>
      <c r="I126" s="22" t="str">
        <f t="shared" si="1"/>
        <v/>
      </c>
    </row>
    <row r="127" spans="8:9">
      <c r="H127" s="22" t="str">
        <f t="shared" si="0"/>
        <v/>
      </c>
      <c r="I127" s="22" t="str">
        <f t="shared" si="1"/>
        <v/>
      </c>
    </row>
    <row r="128" spans="8:9">
      <c r="H128" s="22" t="str">
        <f t="shared" si="0"/>
        <v/>
      </c>
      <c r="I128" s="22" t="str">
        <f t="shared" si="1"/>
        <v/>
      </c>
    </row>
    <row r="129" spans="8:9">
      <c r="H129" s="22" t="str">
        <f t="shared" si="0"/>
        <v/>
      </c>
      <c r="I129" s="22" t="str">
        <f t="shared" si="1"/>
        <v/>
      </c>
    </row>
    <row r="130" spans="8:9">
      <c r="H130" s="22" t="str">
        <f t="shared" si="0"/>
        <v/>
      </c>
      <c r="I130" s="22" t="str">
        <f t="shared" si="1"/>
        <v/>
      </c>
    </row>
    <row r="131" spans="8:9">
      <c r="H131" s="22" t="str">
        <f t="shared" si="0"/>
        <v/>
      </c>
      <c r="I131" s="22" t="str">
        <f t="shared" si="1"/>
        <v/>
      </c>
    </row>
    <row r="132" spans="8:9">
      <c r="H132" s="22" t="str">
        <f t="shared" si="0"/>
        <v/>
      </c>
      <c r="I132" s="22" t="str">
        <f t="shared" si="1"/>
        <v/>
      </c>
    </row>
    <row r="133" spans="8:9">
      <c r="H133" s="22" t="str">
        <f t="shared" si="0"/>
        <v/>
      </c>
      <c r="I133" s="22" t="str">
        <f t="shared" si="1"/>
        <v/>
      </c>
    </row>
    <row r="134" spans="8:9">
      <c r="H134" s="22" t="str">
        <f t="shared" si="0"/>
        <v/>
      </c>
      <c r="I134" s="22" t="str">
        <f t="shared" si="1"/>
        <v/>
      </c>
    </row>
    <row r="135" spans="8:9">
      <c r="H135" s="22" t="str">
        <f t="shared" si="0"/>
        <v/>
      </c>
      <c r="I135" s="22" t="str">
        <f t="shared" si="1"/>
        <v/>
      </c>
    </row>
    <row r="136" spans="8:9">
      <c r="H136" s="22" t="str">
        <f t="shared" si="0"/>
        <v/>
      </c>
      <c r="I136" s="22" t="str">
        <f t="shared" si="1"/>
        <v/>
      </c>
    </row>
    <row r="137" spans="8:9">
      <c r="H137" s="22" t="str">
        <f t="shared" si="0"/>
        <v/>
      </c>
      <c r="I137" s="22" t="str">
        <f t="shared" si="1"/>
        <v/>
      </c>
    </row>
    <row r="138" spans="8:9">
      <c r="H138" s="22" t="str">
        <f t="shared" si="0"/>
        <v/>
      </c>
      <c r="I138" s="22" t="str">
        <f t="shared" si="1"/>
        <v/>
      </c>
    </row>
    <row r="139" spans="8:9">
      <c r="H139" s="22" t="str">
        <f t="shared" si="0"/>
        <v/>
      </c>
      <c r="I139" s="22" t="str">
        <f t="shared" si="1"/>
        <v/>
      </c>
    </row>
    <row r="140" spans="8:9">
      <c r="H140" s="22" t="str">
        <f t="shared" si="0"/>
        <v/>
      </c>
      <c r="I140" s="22" t="str">
        <f t="shared" si="1"/>
        <v/>
      </c>
    </row>
    <row r="141" spans="8:9">
      <c r="H141" s="22" t="str">
        <f t="shared" si="0"/>
        <v/>
      </c>
      <c r="I141" s="22" t="str">
        <f t="shared" si="1"/>
        <v/>
      </c>
    </row>
    <row r="142" spans="8:9">
      <c r="H142" s="22" t="str">
        <f t="shared" si="0"/>
        <v/>
      </c>
      <c r="I142" s="22" t="str">
        <f t="shared" si="1"/>
        <v/>
      </c>
    </row>
    <row r="143" spans="8:9">
      <c r="H143" s="22" t="str">
        <f t="shared" si="0"/>
        <v/>
      </c>
      <c r="I143" s="22" t="str">
        <f t="shared" si="1"/>
        <v/>
      </c>
    </row>
    <row r="144" spans="8:9">
      <c r="H144" s="22" t="str">
        <f t="shared" si="0"/>
        <v/>
      </c>
      <c r="I144" s="22" t="str">
        <f t="shared" si="1"/>
        <v/>
      </c>
    </row>
    <row r="145" spans="8:9">
      <c r="H145" s="22" t="str">
        <f t="shared" si="0"/>
        <v/>
      </c>
      <c r="I145" s="22" t="str">
        <f t="shared" si="1"/>
        <v/>
      </c>
    </row>
    <row r="146" spans="8:9">
      <c r="H146" s="22" t="str">
        <f t="shared" si="0"/>
        <v/>
      </c>
      <c r="I146" s="22" t="str">
        <f t="shared" si="1"/>
        <v/>
      </c>
    </row>
    <row r="147" spans="8:9">
      <c r="H147" s="22" t="str">
        <f t="shared" si="0"/>
        <v/>
      </c>
      <c r="I147" s="22" t="str">
        <f t="shared" si="1"/>
        <v/>
      </c>
    </row>
    <row r="148" spans="8:9">
      <c r="H148" s="22" t="str">
        <f t="shared" si="0"/>
        <v/>
      </c>
      <c r="I148" s="22" t="str">
        <f t="shared" si="1"/>
        <v/>
      </c>
    </row>
    <row r="149" spans="8:9">
      <c r="H149" s="22" t="str">
        <f t="shared" si="0"/>
        <v/>
      </c>
      <c r="I149" s="22" t="str">
        <f t="shared" si="1"/>
        <v/>
      </c>
    </row>
    <row r="150" spans="8:9">
      <c r="H150" s="22" t="str">
        <f t="shared" si="0"/>
        <v/>
      </c>
      <c r="I150" s="22" t="str">
        <f t="shared" si="1"/>
        <v/>
      </c>
    </row>
    <row r="151" spans="8:9">
      <c r="H151" s="22" t="str">
        <f t="shared" si="0"/>
        <v/>
      </c>
      <c r="I151" s="22" t="str">
        <f t="shared" si="1"/>
        <v/>
      </c>
    </row>
    <row r="152" spans="8:9">
      <c r="H152" s="22" t="str">
        <f t="shared" si="0"/>
        <v/>
      </c>
      <c r="I152" s="22" t="str">
        <f t="shared" si="1"/>
        <v/>
      </c>
    </row>
    <row r="153" spans="8:9">
      <c r="H153" s="22" t="str">
        <f t="shared" si="0"/>
        <v/>
      </c>
      <c r="I153" s="22" t="str">
        <f t="shared" si="1"/>
        <v/>
      </c>
    </row>
    <row r="154" spans="8:9">
      <c r="H154" s="22" t="str">
        <f t="shared" si="0"/>
        <v/>
      </c>
      <c r="I154" s="22" t="str">
        <f t="shared" si="1"/>
        <v/>
      </c>
    </row>
    <row r="155" spans="8:9">
      <c r="H155" s="22" t="str">
        <f t="shared" si="0"/>
        <v/>
      </c>
      <c r="I155" s="22" t="str">
        <f t="shared" si="1"/>
        <v/>
      </c>
    </row>
    <row r="156" spans="8:9">
      <c r="H156" s="22" t="str">
        <f t="shared" si="0"/>
        <v/>
      </c>
      <c r="I156" s="22" t="str">
        <f t="shared" si="1"/>
        <v/>
      </c>
    </row>
    <row r="157" spans="8:9">
      <c r="H157" s="22" t="str">
        <f t="shared" si="0"/>
        <v/>
      </c>
      <c r="I157" s="22" t="str">
        <f t="shared" si="1"/>
        <v/>
      </c>
    </row>
    <row r="158" spans="8:9">
      <c r="H158" s="22" t="str">
        <f t="shared" si="0"/>
        <v/>
      </c>
      <c r="I158" s="22" t="str">
        <f t="shared" si="1"/>
        <v/>
      </c>
    </row>
    <row r="159" spans="8:9">
      <c r="H159" s="22" t="str">
        <f t="shared" si="0"/>
        <v/>
      </c>
      <c r="I159" s="22" t="str">
        <f t="shared" si="1"/>
        <v/>
      </c>
    </row>
    <row r="160" spans="8:9">
      <c r="H160" s="22" t="str">
        <f t="shared" si="0"/>
        <v/>
      </c>
      <c r="I160" s="22" t="str">
        <f t="shared" si="1"/>
        <v/>
      </c>
    </row>
    <row r="161" spans="8:9">
      <c r="H161" s="22" t="str">
        <f t="shared" si="0"/>
        <v/>
      </c>
      <c r="I161" s="22" t="str">
        <f t="shared" si="1"/>
        <v/>
      </c>
    </row>
    <row r="162" spans="8:9">
      <c r="H162" s="22" t="str">
        <f t="shared" si="0"/>
        <v/>
      </c>
      <c r="I162" s="22" t="str">
        <f t="shared" si="1"/>
        <v/>
      </c>
    </row>
    <row r="163" spans="8:9">
      <c r="H163" s="22" t="str">
        <f t="shared" si="0"/>
        <v/>
      </c>
      <c r="I163" s="22" t="str">
        <f t="shared" si="1"/>
        <v/>
      </c>
    </row>
    <row r="164" spans="8:9">
      <c r="H164" s="22" t="str">
        <f t="shared" si="0"/>
        <v/>
      </c>
      <c r="I164" s="22" t="str">
        <f t="shared" si="1"/>
        <v/>
      </c>
    </row>
    <row r="165" spans="8:9">
      <c r="H165" s="22" t="str">
        <f t="shared" si="0"/>
        <v/>
      </c>
      <c r="I165" s="22" t="str">
        <f t="shared" si="1"/>
        <v/>
      </c>
    </row>
    <row r="166" spans="8:9">
      <c r="H166" s="22" t="str">
        <f t="shared" si="0"/>
        <v/>
      </c>
      <c r="I166" s="22" t="str">
        <f t="shared" si="1"/>
        <v/>
      </c>
    </row>
    <row r="167" spans="8:9">
      <c r="H167" s="22" t="str">
        <f t="shared" si="0"/>
        <v/>
      </c>
      <c r="I167" s="22" t="str">
        <f t="shared" si="1"/>
        <v/>
      </c>
    </row>
    <row r="168" spans="8:9">
      <c r="H168" s="22" t="str">
        <f t="shared" si="0"/>
        <v/>
      </c>
      <c r="I168" s="22" t="str">
        <f t="shared" si="1"/>
        <v/>
      </c>
    </row>
    <row r="169" spans="8:9">
      <c r="H169" s="22" t="str">
        <f t="shared" si="0"/>
        <v/>
      </c>
      <c r="I169" s="22" t="str">
        <f t="shared" si="1"/>
        <v/>
      </c>
    </row>
    <row r="170" spans="8:9">
      <c r="H170" s="22" t="str">
        <f t="shared" si="0"/>
        <v/>
      </c>
      <c r="I170" s="22" t="str">
        <f t="shared" si="1"/>
        <v/>
      </c>
    </row>
    <row r="171" spans="8:9">
      <c r="H171" s="22" t="str">
        <f t="shared" si="0"/>
        <v/>
      </c>
      <c r="I171" s="22" t="str">
        <f t="shared" si="1"/>
        <v/>
      </c>
    </row>
    <row r="172" spans="8:9">
      <c r="H172" s="22" t="str">
        <f t="shared" si="0"/>
        <v/>
      </c>
      <c r="I172" s="22" t="str">
        <f t="shared" si="1"/>
        <v/>
      </c>
    </row>
    <row r="173" spans="8:9">
      <c r="H173" s="22" t="str">
        <f t="shared" si="0"/>
        <v/>
      </c>
      <c r="I173" s="22" t="str">
        <f t="shared" si="1"/>
        <v/>
      </c>
    </row>
    <row r="174" spans="8:9">
      <c r="H174" s="22" t="str">
        <f t="shared" si="0"/>
        <v/>
      </c>
      <c r="I174" s="22" t="str">
        <f t="shared" si="1"/>
        <v/>
      </c>
    </row>
    <row r="175" spans="8:9">
      <c r="H175" s="22" t="str">
        <f t="shared" si="0"/>
        <v/>
      </c>
      <c r="I175" s="22" t="str">
        <f t="shared" si="1"/>
        <v/>
      </c>
    </row>
    <row r="176" spans="8:9">
      <c r="H176" s="22" t="str">
        <f t="shared" si="0"/>
        <v/>
      </c>
      <c r="I176" s="22" t="str">
        <f t="shared" si="1"/>
        <v/>
      </c>
    </row>
    <row r="177" spans="8:9">
      <c r="H177" s="22" t="str">
        <f t="shared" si="0"/>
        <v/>
      </c>
      <c r="I177" s="22" t="str">
        <f t="shared" si="1"/>
        <v/>
      </c>
    </row>
    <row r="178" spans="8:9">
      <c r="H178" s="22" t="str">
        <f t="shared" si="0"/>
        <v/>
      </c>
      <c r="I178" s="22" t="str">
        <f t="shared" si="1"/>
        <v/>
      </c>
    </row>
    <row r="179" spans="8:9">
      <c r="H179" s="22" t="str">
        <f t="shared" si="0"/>
        <v/>
      </c>
      <c r="I179" s="22" t="str">
        <f t="shared" si="1"/>
        <v/>
      </c>
    </row>
    <row r="180" spans="8:9">
      <c r="H180" s="22" t="str">
        <f t="shared" si="0"/>
        <v/>
      </c>
      <c r="I180" s="22" t="str">
        <f t="shared" si="1"/>
        <v/>
      </c>
    </row>
    <row r="181" spans="8:9">
      <c r="H181" s="22" t="str">
        <f t="shared" si="0"/>
        <v/>
      </c>
      <c r="I181" s="22" t="str">
        <f t="shared" si="1"/>
        <v/>
      </c>
    </row>
    <row r="182" spans="8:9">
      <c r="H182" s="22" t="str">
        <f t="shared" si="0"/>
        <v/>
      </c>
      <c r="I182" s="22" t="str">
        <f t="shared" si="1"/>
        <v/>
      </c>
    </row>
    <row r="183" spans="8:9">
      <c r="H183" s="22" t="str">
        <f t="shared" si="0"/>
        <v/>
      </c>
      <c r="I183" s="22" t="str">
        <f t="shared" si="1"/>
        <v/>
      </c>
    </row>
    <row r="184" spans="8:9">
      <c r="H184" s="22" t="str">
        <f t="shared" si="0"/>
        <v/>
      </c>
      <c r="I184" s="22" t="str">
        <f t="shared" si="1"/>
        <v/>
      </c>
    </row>
    <row r="185" spans="8:9">
      <c r="H185" s="22" t="str">
        <f t="shared" si="0"/>
        <v/>
      </c>
      <c r="I185" s="22" t="str">
        <f t="shared" si="1"/>
        <v/>
      </c>
    </row>
    <row r="186" spans="8:9">
      <c r="H186" s="22" t="str">
        <f t="shared" si="0"/>
        <v/>
      </c>
      <c r="I186" s="22" t="str">
        <f t="shared" si="1"/>
        <v/>
      </c>
    </row>
    <row r="187" spans="8:9">
      <c r="H187" s="22" t="str">
        <f t="shared" si="0"/>
        <v/>
      </c>
      <c r="I187" s="22" t="str">
        <f t="shared" si="1"/>
        <v/>
      </c>
    </row>
    <row r="188" spans="8:9">
      <c r="H188" s="22" t="str">
        <f t="shared" si="0"/>
        <v/>
      </c>
      <c r="I188" s="22" t="str">
        <f t="shared" si="1"/>
        <v/>
      </c>
    </row>
    <row r="189" spans="8:9">
      <c r="H189" s="22" t="str">
        <f t="shared" si="0"/>
        <v/>
      </c>
      <c r="I189" s="22" t="str">
        <f t="shared" si="1"/>
        <v/>
      </c>
    </row>
    <row r="190" spans="8:9">
      <c r="H190" s="22" t="str">
        <f t="shared" si="0"/>
        <v/>
      </c>
      <c r="I190" s="22" t="str">
        <f t="shared" si="1"/>
        <v/>
      </c>
    </row>
    <row r="191" spans="8:9">
      <c r="H191" s="22" t="str">
        <f t="shared" si="0"/>
        <v/>
      </c>
      <c r="I191" s="22" t="str">
        <f t="shared" si="1"/>
        <v/>
      </c>
    </row>
    <row r="192" spans="8:9">
      <c r="H192" s="22" t="str">
        <f t="shared" si="0"/>
        <v/>
      </c>
      <c r="I192" s="22" t="str">
        <f t="shared" si="1"/>
        <v/>
      </c>
    </row>
    <row r="193" spans="8:9">
      <c r="H193" s="22" t="str">
        <f t="shared" si="0"/>
        <v/>
      </c>
      <c r="I193" s="22" t="str">
        <f t="shared" si="1"/>
        <v/>
      </c>
    </row>
    <row r="194" spans="8:9">
      <c r="H194" s="22" t="str">
        <f t="shared" si="0"/>
        <v/>
      </c>
      <c r="I194" s="22" t="str">
        <f t="shared" si="1"/>
        <v/>
      </c>
    </row>
    <row r="195" spans="8:9">
      <c r="H195" s="22" t="str">
        <f t="shared" si="0"/>
        <v/>
      </c>
      <c r="I195" s="22" t="str">
        <f t="shared" si="1"/>
        <v/>
      </c>
    </row>
    <row r="196" spans="8:9">
      <c r="H196" s="22" t="str">
        <f t="shared" si="0"/>
        <v/>
      </c>
      <c r="I196" s="22" t="str">
        <f t="shared" si="1"/>
        <v/>
      </c>
    </row>
    <row r="197" spans="8:9">
      <c r="H197" s="22" t="str">
        <f t="shared" si="0"/>
        <v/>
      </c>
      <c r="I197" s="22" t="str">
        <f t="shared" si="1"/>
        <v/>
      </c>
    </row>
    <row r="198" spans="8:9">
      <c r="H198" s="22" t="str">
        <f t="shared" si="0"/>
        <v/>
      </c>
      <c r="I198" s="22" t="str">
        <f t="shared" si="1"/>
        <v/>
      </c>
    </row>
    <row r="199" spans="8:9">
      <c r="H199" s="22" t="str">
        <f t="shared" si="0"/>
        <v/>
      </c>
      <c r="I199" s="22" t="str">
        <f t="shared" si="1"/>
        <v/>
      </c>
    </row>
    <row r="200" spans="8:9">
      <c r="H200" s="22" t="str">
        <f t="shared" si="0"/>
        <v/>
      </c>
      <c r="I200" s="22" t="str">
        <f t="shared" si="1"/>
        <v/>
      </c>
    </row>
    <row r="201" spans="8:9">
      <c r="H201" s="22" t="str">
        <f t="shared" si="0"/>
        <v/>
      </c>
      <c r="I201" s="22" t="str">
        <f t="shared" si="1"/>
        <v/>
      </c>
    </row>
    <row r="202" spans="8:9">
      <c r="H202" s="22" t="str">
        <f t="shared" si="0"/>
        <v/>
      </c>
      <c r="I202" s="22" t="str">
        <f t="shared" si="1"/>
        <v/>
      </c>
    </row>
    <row r="203" spans="8:9">
      <c r="H203" s="22" t="str">
        <f t="shared" si="0"/>
        <v/>
      </c>
      <c r="I203" s="22" t="str">
        <f t="shared" si="1"/>
        <v/>
      </c>
    </row>
    <row r="204" spans="8:9">
      <c r="H204" s="22" t="str">
        <f t="shared" si="0"/>
        <v/>
      </c>
      <c r="I204" s="22" t="str">
        <f t="shared" si="1"/>
        <v/>
      </c>
    </row>
    <row r="205" spans="8:9">
      <c r="H205" s="22" t="str">
        <f t="shared" si="0"/>
        <v/>
      </c>
      <c r="I205" s="22" t="str">
        <f t="shared" si="1"/>
        <v/>
      </c>
    </row>
    <row r="206" spans="8:9">
      <c r="H206" s="22" t="str">
        <f t="shared" si="0"/>
        <v/>
      </c>
      <c r="I206" s="22" t="str">
        <f t="shared" si="1"/>
        <v/>
      </c>
    </row>
    <row r="207" spans="8:9">
      <c r="H207" s="22" t="str">
        <f t="shared" si="0"/>
        <v/>
      </c>
      <c r="I207" s="22" t="str">
        <f t="shared" si="1"/>
        <v/>
      </c>
    </row>
    <row r="208" spans="8:9">
      <c r="H208" s="22" t="str">
        <f t="shared" si="0"/>
        <v/>
      </c>
      <c r="I208" s="22" t="str">
        <f t="shared" si="1"/>
        <v/>
      </c>
    </row>
    <row r="209" spans="8:9">
      <c r="H209" s="22" t="str">
        <f t="shared" si="0"/>
        <v/>
      </c>
      <c r="I209" s="22" t="str">
        <f t="shared" si="1"/>
        <v/>
      </c>
    </row>
    <row r="210" spans="8:9">
      <c r="H210" s="22" t="str">
        <f t="shared" si="0"/>
        <v/>
      </c>
      <c r="I210" s="22" t="str">
        <f t="shared" si="1"/>
        <v/>
      </c>
    </row>
    <row r="211" spans="8:9">
      <c r="H211" s="22" t="str">
        <f t="shared" si="0"/>
        <v/>
      </c>
      <c r="I211" s="22" t="str">
        <f t="shared" si="1"/>
        <v/>
      </c>
    </row>
    <row r="212" spans="8:9">
      <c r="H212" s="22" t="str">
        <f t="shared" si="0"/>
        <v/>
      </c>
      <c r="I212" s="22" t="str">
        <f t="shared" si="1"/>
        <v/>
      </c>
    </row>
    <row r="213" spans="8:9">
      <c r="H213" s="22" t="str">
        <f t="shared" si="0"/>
        <v/>
      </c>
      <c r="I213" s="22" t="str">
        <f t="shared" si="1"/>
        <v/>
      </c>
    </row>
    <row r="214" spans="8:9">
      <c r="H214" s="22" t="str">
        <f t="shared" si="0"/>
        <v/>
      </c>
      <c r="I214" s="22" t="str">
        <f t="shared" si="1"/>
        <v/>
      </c>
    </row>
    <row r="215" spans="8:9">
      <c r="H215" s="22" t="str">
        <f t="shared" si="0"/>
        <v/>
      </c>
      <c r="I215" s="22" t="str">
        <f t="shared" si="1"/>
        <v/>
      </c>
    </row>
    <row r="216" spans="8:9">
      <c r="H216" s="22" t="str">
        <f t="shared" si="0"/>
        <v/>
      </c>
      <c r="I216" s="22" t="str">
        <f t="shared" si="1"/>
        <v/>
      </c>
    </row>
    <row r="217" spans="8:9">
      <c r="H217" s="22" t="str">
        <f t="shared" si="0"/>
        <v/>
      </c>
      <c r="I217" s="22" t="str">
        <f t="shared" si="1"/>
        <v/>
      </c>
    </row>
    <row r="218" spans="8:9">
      <c r="H218" s="22" t="str">
        <f t="shared" si="0"/>
        <v/>
      </c>
      <c r="I218" s="22" t="str">
        <f t="shared" si="1"/>
        <v/>
      </c>
    </row>
    <row r="219" spans="8:9">
      <c r="H219" s="22" t="str">
        <f t="shared" si="0"/>
        <v/>
      </c>
      <c r="I219" s="22" t="str">
        <f t="shared" si="1"/>
        <v/>
      </c>
    </row>
    <row r="220" spans="8:9">
      <c r="H220" s="22" t="str">
        <f t="shared" si="0"/>
        <v/>
      </c>
      <c r="I220" s="22" t="str">
        <f t="shared" si="1"/>
        <v/>
      </c>
    </row>
    <row r="221" spans="8:9">
      <c r="H221" s="22" t="str">
        <f t="shared" si="0"/>
        <v/>
      </c>
      <c r="I221" s="22" t="str">
        <f t="shared" si="1"/>
        <v/>
      </c>
    </row>
    <row r="222" spans="8:9">
      <c r="H222" s="22" t="str">
        <f t="shared" si="0"/>
        <v/>
      </c>
      <c r="I222" s="22" t="str">
        <f t="shared" si="1"/>
        <v/>
      </c>
    </row>
    <row r="223" spans="8:9">
      <c r="H223" s="22" t="str">
        <f t="shared" si="0"/>
        <v/>
      </c>
      <c r="I223" s="22" t="str">
        <f t="shared" si="1"/>
        <v/>
      </c>
    </row>
    <row r="224" spans="8:9">
      <c r="H224" s="22" t="str">
        <f t="shared" si="0"/>
        <v/>
      </c>
      <c r="I224" s="22" t="str">
        <f t="shared" si="1"/>
        <v/>
      </c>
    </row>
    <row r="225" spans="8:9">
      <c r="H225" s="22" t="str">
        <f t="shared" si="0"/>
        <v/>
      </c>
      <c r="I225" s="22" t="str">
        <f t="shared" si="1"/>
        <v/>
      </c>
    </row>
    <row r="226" spans="8:9">
      <c r="H226" s="22" t="str">
        <f t="shared" si="0"/>
        <v/>
      </c>
      <c r="I226" s="22" t="str">
        <f t="shared" si="1"/>
        <v/>
      </c>
    </row>
    <row r="227" spans="8:9">
      <c r="H227" s="22" t="str">
        <f t="shared" si="0"/>
        <v/>
      </c>
      <c r="I227" s="22" t="str">
        <f t="shared" si="1"/>
        <v/>
      </c>
    </row>
    <row r="228" spans="8:9">
      <c r="H228" s="22" t="str">
        <f t="shared" si="0"/>
        <v/>
      </c>
      <c r="I228" s="22" t="str">
        <f t="shared" si="1"/>
        <v/>
      </c>
    </row>
    <row r="229" spans="8:9">
      <c r="H229" s="22" t="str">
        <f t="shared" si="0"/>
        <v/>
      </c>
      <c r="I229" s="22" t="str">
        <f t="shared" si="1"/>
        <v/>
      </c>
    </row>
    <row r="230" spans="8:9">
      <c r="H230" s="22" t="str">
        <f t="shared" si="0"/>
        <v/>
      </c>
      <c r="I230" s="22" t="str">
        <f t="shared" si="1"/>
        <v/>
      </c>
    </row>
    <row r="231" spans="8:9">
      <c r="H231" s="22" t="str">
        <f t="shared" si="0"/>
        <v/>
      </c>
      <c r="I231" s="22" t="str">
        <f t="shared" si="1"/>
        <v/>
      </c>
    </row>
    <row r="232" spans="8:9">
      <c r="I232" s="22" t="str">
        <f t="shared" si="1"/>
        <v/>
      </c>
    </row>
    <row r="233" spans="8:9">
      <c r="I233" s="22" t="str">
        <f t="shared" si="1"/>
        <v/>
      </c>
    </row>
    <row r="234" spans="8:9">
      <c r="I234" s="22" t="str">
        <f t="shared" si="1"/>
        <v/>
      </c>
    </row>
    <row r="235" spans="8:9">
      <c r="I235" s="22" t="str">
        <f t="shared" si="1"/>
        <v/>
      </c>
    </row>
    <row r="236" spans="8:9">
      <c r="I236" s="22" t="str">
        <f t="shared" si="1"/>
        <v/>
      </c>
    </row>
    <row r="237" spans="8:9">
      <c r="I237" s="22" t="str">
        <f t="shared" si="1"/>
        <v/>
      </c>
    </row>
    <row r="238" spans="8:9">
      <c r="I238" s="22" t="str">
        <f t="shared" si="1"/>
        <v/>
      </c>
    </row>
  </sheetData>
  <sheetProtection selectLockedCells="1" selectUnlockedCells="1"/>
  <conditionalFormatting sqref="F42:F43 F45:F65518 F5:F17 F22:F39">
    <cfRule type="cellIs" dxfId="14" priority="1" stopIfTrue="1" operator="equal">
      <formula>"Delayed"</formula>
    </cfRule>
    <cfRule type="cellIs" dxfId="13" priority="2" stopIfTrue="1" operator="equal">
      <formula>"Done"</formula>
    </cfRule>
    <cfRule type="cellIs" dxfId="12" priority="3" stopIfTrue="1" operator="equal">
      <formula>"Ongoing"</formula>
    </cfRule>
  </conditionalFormatting>
  <conditionalFormatting sqref="F21">
    <cfRule type="cellIs" dxfId="11" priority="4" stopIfTrue="1" operator="equal">
      <formula>"Delayed"</formula>
    </cfRule>
    <cfRule type="cellIs" dxfId="10" priority="5" stopIfTrue="1" operator="equal">
      <formula>"Done"</formula>
    </cfRule>
    <cfRule type="cellIs" dxfId="9" priority="6" stopIfTrue="1" operator="equal">
      <formula>"Ongoing"</formula>
    </cfRule>
  </conditionalFormatting>
  <conditionalFormatting sqref="F40">
    <cfRule type="cellIs" dxfId="8" priority="7" stopIfTrue="1" operator="equal">
      <formula>"Delayed"</formula>
    </cfRule>
    <cfRule type="cellIs" dxfId="7" priority="8" stopIfTrue="1" operator="equal">
      <formula>"Done"</formula>
    </cfRule>
    <cfRule type="cellIs" dxfId="6" priority="9" stopIfTrue="1" operator="equal">
      <formula>"Ongoing"</formula>
    </cfRule>
  </conditionalFormatting>
  <conditionalFormatting sqref="F44">
    <cfRule type="cellIs" dxfId="5" priority="10" stopIfTrue="1" operator="equal">
      <formula>"Delayed"</formula>
    </cfRule>
    <cfRule type="cellIs" dxfId="4" priority="11" stopIfTrue="1" operator="equal">
      <formula>"Done"</formula>
    </cfRule>
    <cfRule type="cellIs" dxfId="3" priority="12" stopIfTrue="1" operator="equal">
      <formula>"Ongoing"</formula>
    </cfRule>
  </conditionalFormatting>
  <conditionalFormatting sqref="F18:F20">
    <cfRule type="cellIs" dxfId="2" priority="13" stopIfTrue="1" operator="equal">
      <formula>"Delayed"</formula>
    </cfRule>
    <cfRule type="cellIs" dxfId="1" priority="14" stopIfTrue="1" operator="equal">
      <formula>"Done"</formula>
    </cfRule>
    <cfRule type="cellIs" dxfId="0" priority="15" stopIfTrue="1" operator="equal">
      <formula>"Ongoing"</formula>
    </cfRule>
  </conditionalFormatting>
  <dataValidations count="2">
    <dataValidation type="list" allowBlank="1" showErrorMessage="1" sqref="F5:F40 F42:F1238" xr:uid="{373DDB7D-44B8-4004-8014-4A45B0B8CE36}">
      <formula1>"Planned,Ongoing,Delayed,Done"</formula1>
      <formula2>0</formula2>
    </dataValidation>
    <dataValidation type="list" allowBlank="1" showErrorMessage="1" sqref="B5:B9 B11:B12 B18:B25 B34 B40:B1238" xr:uid="{1C899CC9-F261-475E-A370-E5DAA840F9DC}">
      <formula1>"Requirements,Design,Development,Testing,Preparation,Coordination,Documentation,Interfaces,Delivery"</formula1>
      <formula2>0</formula2>
    </dataValidation>
  </dataValidations>
  <hyperlinks>
    <hyperlink ref="A6" location="Instructions!A1" display="    See Instructions sheet for usage" xr:uid="{773F1BB5-9249-41E1-8348-EE8376D4BDC3}"/>
  </hyperlinks>
  <printOptions gridLines="1"/>
  <pageMargins left="0.75" right="0.75" top="1" bottom="1" header="0.5" footer="0.51181102362204722"/>
  <pageSetup scale="70" firstPageNumber="0" orientation="landscape" horizontalDpi="300" verticalDpi="300"/>
  <headerFooter alignWithMargins="0">
    <oddHeader>&amp;LEdit the Header with Your Team ID&amp;C&amp;F&amp;R&amp;D</oddHead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2026-02-08T15:14:11Z</dcterms:created>
  <dcterms:modified xsi:type="dcterms:W3CDTF">2026-02-09T07:52:09Z</dcterms:modified>
  <cp:category/>
  <cp:contentStatus/>
</cp:coreProperties>
</file>