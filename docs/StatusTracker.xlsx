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Instructions" sheetId="1" state="visible" r:id="rId2"/>
    <sheet name="Status" sheetId="2" state="visible" r:id="rId3"/>
  </sheets>
  <calcPr iterateDelta="0.0001"/>
  <extLst>
    <ext xmlns:x15="http://schemas.microsoft.com/office/spreadsheetml/2010/11/main" uri="{D0CA8CA8-9F24-4464-BF8E-62219DCF47F9}"/>
  </extLst>
</workbook>
</file>

<file path=xl/sharedStrings.xml><?xml version="1.0" encoding="utf-8"?>
<sst xmlns="http://schemas.openxmlformats.org/spreadsheetml/2006/main" count="105" uniqueCount="105">
  <si>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</si>
  <si>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</si>
  <si>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</si>
  <si>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</si>
  <si>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</si>
  <si>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</si>
  <si>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</si>
  <si>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</si>
  <si>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</si>
  <si>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</si>
  <si>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</si>
  <si>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</si>
  <si>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</si>
  <si>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</si>
  <si>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</si>
  <si>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</si>
  <si>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</si>
  <si>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</si>
  <si>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</si>
  <si>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</si>
  <si>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</si>
  <si>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</si>
  <si>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</si>
  <si>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Santhosh</t>
  </si>
  <si>
    <t xml:space="preserve">Activity Name</t>
  </si>
  <si>
    <t>Type</t>
  </si>
  <si>
    <t>Responsible</t>
  </si>
  <si>
    <t xml:space="preserve">Estimated Team Hours</t>
  </si>
  <si>
    <t xml:space="preserve">Actual Hours</t>
  </si>
  <si>
    <t>Status</t>
  </si>
  <si>
    <t>Comments</t>
  </si>
  <si>
    <t xml:space="preserve">Estimation error</t>
  </si>
  <si>
    <t xml:space="preserve">Estimation error %</t>
  </si>
  <si>
    <t xml:space="preserve">    See Instructions sheet for usage</t>
  </si>
  <si>
    <t xml:space="preserve">Week 1 (January 16-  January 17)</t>
  </si>
  <si>
    <t xml:space="preserve">[Jan 16] Set a meeting with the client</t>
  </si>
  <si>
    <t>Coordination</t>
  </si>
  <si>
    <t>arya</t>
  </si>
  <si>
    <t>Done</t>
  </si>
  <si>
    <t xml:space="preserve">onboarding of the team with the client and knowing the process</t>
  </si>
  <si>
    <t xml:space="preserve">[Jan 16] Updated design requirements after client meeting</t>
  </si>
  <si>
    <t>Documentation</t>
  </si>
  <si>
    <t>vaishnavi</t>
  </si>
  <si>
    <t xml:space="preserve">update the design requirements according to client feedback, and divide work among team members</t>
  </si>
  <si>
    <t xml:space="preserve">Week 2 (January 18 - January  24)</t>
  </si>
  <si>
    <t xml:space="preserve">[jan 18] restructure repository</t>
  </si>
  <si>
    <t>Development</t>
  </si>
  <si>
    <t xml:space="preserve">setup branches and connect to vercel</t>
  </si>
  <si>
    <t xml:space="preserve">[jan 18] changes requested by client in meeting</t>
  </si>
  <si>
    <t xml:space="preserve">UI changes</t>
  </si>
  <si>
    <t xml:space="preserve">[jan 19] changes requested by client in meeting</t>
  </si>
  <si>
    <t>manan</t>
  </si>
  <si>
    <t xml:space="preserve">changes requested by the clients - Increse the Font sizes in  Some modules , Changes some Submit Button </t>
  </si>
  <si>
    <t>vruddhi</t>
  </si>
  <si>
    <t xml:space="preserve">[jan 21] restructer the sidebar, other ui improvements</t>
  </si>
  <si>
    <t>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</si>
  <si>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</si>
  <si>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</si>
  <si>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</si>
  <si>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</si>
  <si>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</si>
  <si>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</si>
  <si>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</si>
  <si>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</si>
  <si>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</si>
  <si>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</si>
  <si>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</si>
  <si>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</si>
  <si>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</si>
  <si>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</si>
  <si>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</si>
  <si>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</si>
  <si>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</si>
  <si>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</si>
  <si>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</si>
  <si>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</si>
  <si>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</si>
  <si>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</si>
  <si>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</si>
  <si>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</si>
  <si>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</si>
  <si>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</si>
  <si>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</si>
  <si>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</si>
  <si>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</si>
  <si>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</si>
  <si>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Ongoing</t>
  </si>
  <si>
    <t xml:space="preserve">connect the frontend to the backend</t>
  </si>
  <si>
    <t xml:space="preserve">[Feb 11] Computer module fixes requested by client</t>
  </si>
  <si>
    <t>Dev</t>
  </si>
  <si>
    <t xml:space="preserve">[feb 10] meeting with sachin sir </t>
  </si>
  <si>
    <t xml:space="preserve">add pages for login, singup, teachers, parents, etc.</t>
  </si>
  <si>
    <t xml:space="preserve">check the backend and frontend connection</t>
  </si>
  <si>
    <t>Testing</t>
  </si>
  <si>
    <t xml:space="preserve">Week 6 (Feb 15 – Feb 21)</t>
  </si>
  <si>
    <t xml:space="preserve">UI Improvements for home pages</t>
  </si>
  <si>
    <t xml:space="preserve">Changed flow of English exercise</t>
  </si>
  <si>
    <t xml:space="preserve">Audio clips for English words</t>
  </si>
  <si>
    <t xml:space="preserve">Fixed the overall flow of the entire modules</t>
  </si>
  <si>
    <t xml:space="preserve">push the new pages (backend + audiio) to vercel, test the workflow </t>
  </si>
  <si>
    <t xml:space="preserve">UI Changes for admin view</t>
  </si>
  <si>
    <t xml:space="preserve">Created SRS</t>
  </si>
  <si>
    <t>Manan</t>
  </si>
  <si>
    <t xml:space="preserve">Teacher's dashboard updated</t>
  </si>
  <si>
    <t xml:space="preserve">Made English exercise ui consistent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</si>
</sst>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0.000000"/>
      <color theme="1"/>
      <name val="Arial"/>
    </font>
    <font>
      <u/>
      <sz val="10.000000"/>
      <color rgb="FF0000D4"/>
      <name val="Arial"/>
    </font>
    <font>
      <b/>
      <sz val="14.000000"/>
      <name val="Arial"/>
    </font>
    <font>
      <sz val="14.000000"/>
      <color indexed="4"/>
      <name val="Arial"/>
    </font>
    <font>
      <sz val="14.000000"/>
      <name val="Arial"/>
    </font>
    <font>
      <b/>
      <sz val="10.000000"/>
      <name val="Arial"/>
    </font>
    <font>
      <b/>
      <sz val="12.000000"/>
      <name val="Arial"/>
    </font>
    <font>
      <b/>
      <u/>
      <sz val="12.000000"/>
      <color rgb="FF0000D4"/>
      <name val="Arial"/>
    </font>
    <font>
      <sz val="10.000000"/>
      <name val="Arial"/>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style="none"/>
      <right style="none"/>
      <top style="none"/>
      <bottom style="none"/>
      <diagonal style="none"/>
    </border>
  </borders>
  <cellStyleXfs count="2">
    <xf fontId="0" fillId="0" borderId="0" numFmtId="0" applyNumberFormat="1" applyFont="1" applyFill="1" applyBorder="1"/>
    <xf fontId="1" fillId="0" borderId="0" numFmtId="0" applyNumberFormat="1" applyFont="1" applyFill="1" applyBorder="0" applyProtection="0"/>
  </cellStyleXfs>
  <cellXfs count="31">
    <xf fontId="0" fillId="0" borderId="0" numFmtId="0" xfId="0"/>
    <xf fontId="0" fillId="0" borderId="0" numFmtId="0" xfId="0" applyAlignment="1">
      <alignment horizontal="center"/>
    </xf>
    <xf fontId="2" fillId="0" borderId="0" numFmtId="0" xfId="0" applyFont="1"/>
    <xf fontId="3" fillId="0" borderId="0" numFmtId="0" xfId="0" applyFont="1"/>
    <xf fontId="0" fillId="0" borderId="0" numFmtId="49" xfId="0" applyNumberFormat="1" applyAlignment="1">
      <alignment horizontal="center"/>
    </xf>
    <xf fontId="0" fillId="2" borderId="0" numFmtId="0" xfId="0" applyFill="1" applyAlignment="1">
      <alignment horizontal="center"/>
    </xf>
    <xf fontId="4" fillId="0" borderId="0" numFmtId="0" xfId="0" applyFont="1" applyAlignment="1">
      <alignment horizontal="center"/>
    </xf>
    <xf fontId="0" fillId="0" borderId="0" numFmtId="0" xfId="0" applyAlignment="1">
      <alignment vertical="center"/>
    </xf>
    <xf fontId="5" fillId="3" borderId="0" numFmtId="0" xfId="0" applyFont="1" applyFill="1" applyAlignment="1">
      <alignment vertical="center"/>
    </xf>
    <xf fontId="5" fillId="3" borderId="0" numFmtId="0" xfId="0" applyFont="1" applyFill="1" applyAlignment="1">
      <alignment horizontal="center" vertical="center"/>
    </xf>
    <xf fontId="5" fillId="3" borderId="0" numFmtId="49" xfId="0" applyNumberFormat="1" applyFont="1" applyFill="1" applyAlignment="1">
      <alignment horizontal="center" vertical="center" wrapText="1"/>
    </xf>
    <xf fontId="5" fillId="3" borderId="0" numFmtId="49" xfId="0" applyNumberFormat="1" applyFont="1" applyFill="1" applyAlignment="1">
      <alignment horizontal="center" vertical="center"/>
    </xf>
    <xf fontId="5" fillId="2" borderId="0" numFmtId="49" xfId="0" applyNumberFormat="1" applyFont="1" applyFill="1" applyAlignment="1">
      <alignment horizontal="center" vertical="center" wrapText="1"/>
    </xf>
    <xf fontId="6" fillId="4" borderId="0" numFmtId="0" xfId="0" applyFont="1" applyFill="1" applyAlignment="1">
      <alignment vertical="center"/>
    </xf>
    <xf fontId="7" fillId="4" borderId="0" numFmtId="0" xfId="1" applyFont="1" applyFill="1" applyAlignment="1" applyProtection="1">
      <alignment vertical="center"/>
    </xf>
    <xf fontId="6" fillId="4" borderId="0" numFmtId="0" xfId="0" applyFont="1" applyFill="1" applyAlignment="1">
      <alignment horizontal="center" vertical="center"/>
    </xf>
    <xf fontId="6" fillId="4" borderId="0" numFmtId="49" xfId="0" applyNumberFormat="1" applyFont="1" applyFill="1" applyAlignment="1">
      <alignment horizontal="center" vertical="center"/>
    </xf>
    <xf fontId="5" fillId="3" borderId="0" numFmtId="0" xfId="0" applyFont="1" applyFill="1"/>
    <xf fontId="0" fillId="3" borderId="0" numFmtId="0" xfId="0" applyFill="1"/>
    <xf fontId="0" fillId="3" borderId="0" numFmtId="0" xfId="0" applyFill="1" applyAlignment="1">
      <alignment horizontal="center"/>
    </xf>
    <xf fontId="5" fillId="3" borderId="0" numFmtId="0" xfId="0" applyFont="1" applyFill="1" applyAlignment="1">
      <alignment horizontal="center"/>
    </xf>
    <xf fontId="0" fillId="3" borderId="0" numFmtId="49" xfId="0" applyNumberFormat="1" applyFill="1" applyAlignment="1">
      <alignment horizontal="center"/>
    </xf>
    <xf fontId="5" fillId="2" borderId="0" numFmtId="0" xfId="0" applyFont="1" applyFill="1" applyAlignment="1">
      <alignment horizontal="center"/>
    </xf>
    <xf fontId="8" fillId="0" borderId="0" numFmtId="0" xfId="0" applyFont="1"/>
    <xf fontId="8" fillId="0" borderId="0" numFmtId="0" xfId="0" applyFont="1" applyAlignment="1">
      <alignment horizontal="center"/>
    </xf>
    <xf fontId="0" fillId="0" borderId="0" numFmtId="0" xfId="0" applyAlignment="1">
      <alignment wrapText="1"/>
    </xf>
    <xf fontId="0" fillId="5" borderId="0" numFmtId="49" xfId="0" applyNumberFormat="1" applyFill="1" applyAlignment="1">
      <alignment horizontal="center"/>
    </xf>
    <xf fontId="0" fillId="5" borderId="0" numFmtId="0" xfId="0" applyFill="1" applyAlignment="1">
      <alignment horizontal="center"/>
    </xf>
    <xf fontId="0" fillId="0" borderId="0" numFmtId="0" xfId="0"/>
    <xf fontId="0" fillId="0" borderId="0" numFmtId="0" xfId="0" applyAlignment="1">
      <alignment horizontal="center"/>
    </xf>
    <xf fontId="0" fillId="0" borderId="0" numFmtId="49" xfId="0" applyNumberForma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 zoomScale="110" workbookViewId="0">
      <selection activeCell="B30" activeCellId="0" sqref="B30"/>
    </sheetView>
  </sheetViews>
  <sheetFormatPr baseColWidth="10" defaultColWidth="8.83203125" defaultRowHeight="13"/>
  <cols>
    <col customWidth="1" min="1" max="1" width="88.33203125"/>
    <col customWidth="1" min="2" max="2" width="50.33203125"/>
  </cols>
  <sheetData>
    <row r="1" ht="18">
      <c r="A1" s="1"/>
      <c r="C1" s="2" t="s">
        <v>0</v>
      </c>
    </row>
    <row r="2" ht="18">
      <c r="A2" s="1"/>
      <c r="C2" s="2"/>
    </row>
    <row r="3">
      <c r="A3" t="s">
        <v>1</v>
      </c>
    </row>
    <row r="4">
      <c r="A4" t="s">
        <v>2</v>
      </c>
    </row>
    <row r="5">
      <c r="A5" t="s">
        <v>3</v>
      </c>
    </row>
    <row r="6">
      <c r="B6" t="s">
        <v>4</v>
      </c>
    </row>
    <row r="7">
      <c r="B7" t="s">
        <v>5</v>
      </c>
    </row>
    <row r="8">
      <c r="A8" t="s">
        <v>6</v>
      </c>
    </row>
    <row r="9">
      <c r="A9" t="s">
        <v>7</v>
      </c>
    </row>
    <row r="11">
      <c r="A11" t="s">
        <v>8</v>
      </c>
    </row>
    <row r="13">
      <c r="A13" t="s">
        <v>9</v>
      </c>
    </row>
    <row r="14">
      <c r="B14" t="s">
        <v>10</v>
      </c>
    </row>
    <row r="15">
      <c r="B15" t="s">
        <v>11</v>
      </c>
    </row>
    <row r="19" ht="30.75" customHeight="1">
      <c r="A19" s="2" t="s">
        <v>12</v>
      </c>
      <c r="B19" s="3">
        <v>20</v>
      </c>
    </row>
    <row r="20" ht="25.5" customHeight="1">
      <c r="A20" s="2" t="s">
        <v>13</v>
      </c>
      <c r="B20" s="3" t="s">
        <v>14</v>
      </c>
    </row>
    <row r="21" ht="25.5" customHeight="1">
      <c r="A21" s="2" t="s">
        <v>15</v>
      </c>
      <c r="B21" s="3" t="s">
        <v>16</v>
      </c>
    </row>
    <row r="22" ht="37.5" customHeight="1">
      <c r="A22" s="2" t="s">
        <v>17</v>
      </c>
      <c r="B22" s="3" t="s">
        <v>18</v>
      </c>
    </row>
    <row r="23" ht="18">
      <c r="B23" s="3" t="s">
        <v>19</v>
      </c>
    </row>
    <row r="24" ht="18">
      <c r="B24" s="3" t="s">
        <v>20</v>
      </c>
    </row>
    <row r="25" ht="18">
      <c r="B25" s="3" t="s">
        <v>21</v>
      </c>
    </row>
    <row r="26" ht="18">
      <c r="B26" s="3" t="s">
        <v>22</v>
      </c>
    </row>
    <row r="27" ht="18">
      <c r="B27" s="3"/>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40" zoomScale="110" workbookViewId="0">
      <selection activeCell="B12" activeCellId="0" sqref="B12"/>
    </sheetView>
  </sheetViews>
  <sheetFormatPr baseColWidth="10" defaultColWidth="8.83203125" defaultRowHeight="12.75" outlineLevelRow="2"/>
  <cols>
    <col customWidth="1" min="1" max="1" width="50.5"/>
    <col customWidth="1" min="2" max="2" width="47.6640625"/>
    <col customWidth="1" min="3" max="3" style="1" width="41.83203125"/>
    <col customWidth="1" min="4" max="4" style="1" width="11"/>
    <col customWidth="1" min="5" max="5" style="1" width="11.33203125"/>
    <col customWidth="1" min="6" max="6" style="4" width="12.33203125"/>
    <col customWidth="1" min="7" max="7" width="48.33203125"/>
    <col customWidth="1" min="8" max="9" style="5" width="11.33203125"/>
  </cols>
  <sheetData>
    <row r="1" ht="24.75" customHeight="1">
      <c r="A1" s="2" t="str">
        <f>(Instructions!A19)</f>
        <v xml:space="preserve">PROJECT NUMBER</v>
      </c>
      <c r="B1" s="6">
        <v>20</v>
      </c>
    </row>
    <row r="2" ht="25.5" customHeight="1">
      <c r="A2" s="2" t="str">
        <f>(Instructions!A20)</f>
        <v xml:space="preserve">PROJECT NAME</v>
      </c>
      <c r="B2" s="6" t="s">
        <v>14</v>
      </c>
    </row>
    <row r="3" ht="30.75" customHeight="1">
      <c r="A3" s="2" t="str">
        <f>(Instructions!A21)</f>
        <v xml:space="preserve">PROJECT MENTOR (sponsor)</v>
      </c>
      <c r="B3" s="6" t="s">
        <v>23</v>
      </c>
    </row>
    <row r="5" s="7" customFormat="1" ht="38.25">
      <c r="A5" s="8" t="s">
        <v>24</v>
      </c>
      <c r="B5" s="8" t="s">
        <v>25</v>
      </c>
      <c r="C5" s="9" t="s">
        <v>26</v>
      </c>
      <c r="D5" s="10" t="s">
        <v>27</v>
      </c>
      <c r="E5" s="10" t="s">
        <v>28</v>
      </c>
      <c r="F5" s="11" t="s">
        <v>29</v>
      </c>
      <c r="G5" s="8" t="s">
        <v>30</v>
      </c>
      <c r="H5" s="12" t="s">
        <v>31</v>
      </c>
      <c r="I5" s="12" t="s">
        <v>32</v>
      </c>
    </row>
    <row r="6" s="13" customFormat="1" ht="30.75" customHeight="1" outlineLevel="2">
      <c r="A6" s="14" t="s">
        <v>33</v>
      </c>
      <c r="C6" s="15"/>
      <c r="D6" s="15"/>
      <c r="E6" s="15"/>
      <c r="F6" s="16"/>
      <c r="H6" s="15"/>
      <c r="I6" s="15"/>
    </row>
    <row r="7" outlineLevel="2">
      <c r="A7" s="17" t="s">
        <v>34</v>
      </c>
      <c r="B7" s="18"/>
      <c r="C7" s="19"/>
      <c r="D7" s="20"/>
      <c r="E7" s="20"/>
      <c r="F7" s="21"/>
      <c r="G7" s="18"/>
      <c r="H7" s="22" t="str">
        <f t="shared" ref="H7:H9" si="0">IF(OR(D7="",E7=""),"",D7-E7)</f>
        <v/>
      </c>
      <c r="I7" s="22" t="str">
        <f t="shared" ref="I7:I9" si="1">IF(OR(H7="",E7=0),"",ABS(H7)/E7*100)</f>
        <v/>
      </c>
    </row>
    <row r="8" outlineLevel="2">
      <c r="A8" s="23" t="s">
        <v>35</v>
      </c>
      <c r="B8" s="1" t="s">
        <v>36</v>
      </c>
      <c r="C8" s="24" t="s">
        <v>37</v>
      </c>
      <c r="D8" s="1">
        <v>1.5</v>
      </c>
      <c r="E8" s="1">
        <v>1.5</v>
      </c>
      <c r="F8" s="4" t="s">
        <v>38</v>
      </c>
      <c r="G8" s="1" t="s">
        <v>39</v>
      </c>
      <c r="H8" s="22">
        <f t="shared" si="0"/>
        <v>0</v>
      </c>
      <c r="I8" s="22">
        <f t="shared" si="1"/>
        <v>0</v>
      </c>
    </row>
    <row r="9" outlineLevel="2">
      <c r="A9" t="s">
        <v>40</v>
      </c>
      <c r="B9" s="1" t="s">
        <v>41</v>
      </c>
      <c r="C9" s="24" t="s">
        <v>42</v>
      </c>
      <c r="D9" s="1">
        <v>1</v>
      </c>
      <c r="E9" s="1">
        <v>1.05</v>
      </c>
      <c r="F9" s="4" t="s">
        <v>38</v>
      </c>
      <c r="G9" t="s">
        <v>43</v>
      </c>
      <c r="H9" s="22">
        <f t="shared" si="0"/>
        <v>-0.050000000000000044</v>
      </c>
      <c r="I9" s="22">
        <f t="shared" si="1"/>
        <v>4.7619047619047654</v>
      </c>
    </row>
    <row r="10" outlineLevel="2">
      <c r="A10" s="25"/>
      <c r="B10" s="1"/>
      <c r="C10" s="24"/>
      <c r="H10" s="22" t="str">
        <f t="shared" ref="H10:H73" si="2">IF(OR(D10="",E10=""),"",D10-E10)</f>
        <v/>
      </c>
      <c r="I10" s="22" t="str">
        <f t="shared" ref="I10:I73" si="3">IF(OR(H10="",E10=0),"",ABS(H10)/E10*100)</f>
        <v/>
      </c>
    </row>
    <row r="11" s="18" customFormat="1" outlineLevel="2">
      <c r="A11" s="17" t="s">
        <v>44</v>
      </c>
      <c r="C11" s="19"/>
      <c r="D11" s="19"/>
      <c r="E11" s="19"/>
      <c r="F11" s="21"/>
      <c r="H11" s="22" t="str">
        <f t="shared" si="2"/>
        <v/>
      </c>
      <c r="I11" s="22" t="str">
        <f t="shared" si="3"/>
        <v/>
      </c>
    </row>
    <row r="12" ht="14" outlineLevel="2">
      <c r="A12" s="25" t="s">
        <v>45</v>
      </c>
      <c r="B12" s="1" t="s">
        <v>46</v>
      </c>
      <c r="C12" s="24" t="s">
        <v>37</v>
      </c>
      <c r="D12" s="1">
        <v>4</v>
      </c>
      <c r="E12" s="1">
        <v>4</v>
      </c>
      <c r="F12" s="4" t="s">
        <v>38</v>
      </c>
      <c r="G12" t="s">
        <v>47</v>
      </c>
      <c r="H12" s="22">
        <f t="shared" si="2"/>
        <v>0</v>
      </c>
      <c r="I12" s="22">
        <f t="shared" si="3"/>
        <v>0</v>
      </c>
    </row>
    <row r="13" s="18" customFormat="1" ht="14" outlineLevel="2">
      <c r="A13" s="25" t="s">
        <v>48</v>
      </c>
      <c r="B13" s="1" t="s">
        <v>46</v>
      </c>
      <c r="C13" s="24" t="s">
        <v>37</v>
      </c>
      <c r="D13" s="1">
        <v>1</v>
      </c>
      <c r="E13" s="1">
        <v>1</v>
      </c>
      <c r="F13" s="4" t="s">
        <v>38</v>
      </c>
      <c r="G13" s="18" t="s">
        <v>49</v>
      </c>
      <c r="H13" s="22">
        <f t="shared" si="2"/>
        <v>0</v>
      </c>
      <c r="I13" s="22">
        <f t="shared" si="3"/>
        <v>0</v>
      </c>
    </row>
    <row r="14" s="18" customFormat="1" ht="14" outlineLevel="2">
      <c r="A14" s="25" t="s">
        <v>50</v>
      </c>
      <c r="B14" s="1" t="s">
        <v>46</v>
      </c>
      <c r="C14" s="24" t="s">
        <v>51</v>
      </c>
      <c r="D14" s="1"/>
      <c r="E14" s="1"/>
      <c r="F14" s="4" t="s">
        <v>38</v>
      </c>
      <c r="G14" s="18" t="s">
        <v>49</v>
      </c>
      <c r="H14" s="22" t="str">
        <f t="shared" si="2"/>
        <v/>
      </c>
      <c r="I14" s="22" t="str">
        <f t="shared" si="3"/>
        <v/>
      </c>
    </row>
    <row r="15" s="18" customFormat="1" ht="25.5" outlineLevel="2">
      <c r="A15" s="25" t="s">
        <v>52</v>
      </c>
      <c r="B15" s="1" t="s">
        <v>46</v>
      </c>
      <c r="C15" s="24" t="s">
        <v>53</v>
      </c>
      <c r="D15" s="1">
        <v>1</v>
      </c>
      <c r="E15" s="1">
        <v>1</v>
      </c>
      <c r="F15" s="4" t="s">
        <v>38</v>
      </c>
      <c r="G15" s="18" t="s">
        <v>49</v>
      </c>
      <c r="H15" s="22">
        <f t="shared" si="2"/>
        <v>0</v>
      </c>
      <c r="I15" s="22">
        <f t="shared" si="3"/>
        <v>0</v>
      </c>
    </row>
    <row r="16" s="18" customFormat="1" ht="28" outlineLevel="2">
      <c r="A16" s="25" t="s">
        <v>54</v>
      </c>
      <c r="B16" s="1" t="s">
        <v>46</v>
      </c>
      <c r="C16" s="24" t="s">
        <v>55</v>
      </c>
      <c r="D16" s="1"/>
      <c r="E16" s="1"/>
      <c r="F16" s="4" t="s">
        <v>38</v>
      </c>
      <c r="G16" s="18" t="s">
        <v>49</v>
      </c>
      <c r="H16" s="22" t="str">
        <f t="shared" si="2"/>
        <v/>
      </c>
      <c r="I16" s="22" t="str">
        <f t="shared" si="3"/>
        <v/>
      </c>
    </row>
    <row r="17" s="18" customFormat="1" ht="25.5" outlineLevel="2">
      <c r="A17" s="25" t="s">
        <v>56</v>
      </c>
      <c r="B17" s="1" t="s">
        <v>46</v>
      </c>
      <c r="C17" s="24" t="s">
        <v>42</v>
      </c>
      <c r="D17" s="1">
        <v>1</v>
      </c>
      <c r="E17" s="1">
        <v>2.75</v>
      </c>
      <c r="F17" s="4" t="s">
        <v>38</v>
      </c>
      <c r="G17" s="18" t="s">
        <v>49</v>
      </c>
      <c r="H17" s="22">
        <f t="shared" si="2"/>
        <v>-1.75</v>
      </c>
      <c r="I17" s="22">
        <f t="shared" si="3"/>
        <v>63.636363636363633</v>
      </c>
    </row>
    <row r="18" ht="25.5" outlineLevel="2">
      <c r="A18" s="25" t="s">
        <v>57</v>
      </c>
      <c r="B18" s="1" t="s">
        <v>46</v>
      </c>
      <c r="C18" s="1" t="s">
        <v>37</v>
      </c>
      <c r="D18" s="1">
        <v>3</v>
      </c>
      <c r="E18" s="1">
        <v>4</v>
      </c>
      <c r="F18" s="4" t="s">
        <v>38</v>
      </c>
      <c r="H18" s="22">
        <f t="shared" si="2"/>
        <v>-1</v>
      </c>
      <c r="I18" s="22">
        <f t="shared" si="3"/>
        <v>25</v>
      </c>
    </row>
    <row r="19" ht="14" outlineLevel="2">
      <c r="A19" s="25" t="s">
        <v>58</v>
      </c>
      <c r="B19" s="1" t="s">
        <v>36</v>
      </c>
      <c r="C19" s="1" t="s">
        <v>59</v>
      </c>
      <c r="D19" s="1">
        <v>1</v>
      </c>
      <c r="E19" s="1">
        <v>1</v>
      </c>
      <c r="F19" s="4" t="s">
        <v>38</v>
      </c>
      <c r="G19" t="s">
        <v>60</v>
      </c>
      <c r="H19" s="22">
        <f t="shared" si="2"/>
        <v>0</v>
      </c>
      <c r="I19" s="22">
        <f t="shared" si="3"/>
        <v>0</v>
      </c>
    </row>
    <row r="20" outlineLevel="2">
      <c r="A20" s="25"/>
      <c r="B20" s="1"/>
      <c r="H20" s="22" t="str">
        <f t="shared" si="2"/>
        <v/>
      </c>
      <c r="I20" s="22" t="str">
        <f t="shared" si="3"/>
        <v/>
      </c>
    </row>
    <row r="21" s="18" customFormat="1" outlineLevel="2">
      <c r="A21" s="17" t="s">
        <v>61</v>
      </c>
      <c r="C21" s="19"/>
      <c r="D21" s="19"/>
      <c r="E21" s="19"/>
      <c r="F21" s="21"/>
      <c r="H21" s="22" t="str">
        <f t="shared" si="2"/>
        <v/>
      </c>
      <c r="I21" s="22" t="str">
        <f t="shared" si="3"/>
        <v/>
      </c>
    </row>
    <row r="22">
      <c r="A22" t="s">
        <v>62</v>
      </c>
      <c r="B22" s="1" t="s">
        <v>36</v>
      </c>
      <c r="C22" s="1" t="s">
        <v>63</v>
      </c>
      <c r="D22" s="1">
        <v>1</v>
      </c>
      <c r="E22" s="1">
        <v>1</v>
      </c>
      <c r="F22" s="4" t="s">
        <v>38</v>
      </c>
      <c r="H22" s="22">
        <f t="shared" si="2"/>
        <v>0</v>
      </c>
      <c r="I22" s="22">
        <f t="shared" si="3"/>
        <v>0</v>
      </c>
    </row>
    <row r="23">
      <c r="A23" t="s">
        <v>64</v>
      </c>
      <c r="B23" s="1" t="s">
        <v>41</v>
      </c>
      <c r="C23" s="1" t="s">
        <v>55</v>
      </c>
      <c r="F23" s="4" t="s">
        <v>38</v>
      </c>
      <c r="H23" s="22" t="str">
        <f t="shared" si="2"/>
        <v/>
      </c>
      <c r="I23" s="22" t="str">
        <f t="shared" si="3"/>
        <v/>
      </c>
    </row>
    <row r="24">
      <c r="H24" s="22" t="str">
        <f t="shared" si="2"/>
        <v/>
      </c>
      <c r="I24" s="22" t="str">
        <f t="shared" si="3"/>
        <v/>
      </c>
    </row>
    <row r="25">
      <c r="A25" s="17" t="s">
        <v>65</v>
      </c>
      <c r="B25" s="18"/>
      <c r="C25" s="19"/>
      <c r="D25" s="19"/>
      <c r="E25" s="19"/>
      <c r="F25" s="21"/>
      <c r="G25" s="18"/>
      <c r="H25" s="22" t="str">
        <f t="shared" si="2"/>
        <v/>
      </c>
      <c r="I25" s="22" t="str">
        <f t="shared" si="3"/>
        <v/>
      </c>
    </row>
    <row r="26">
      <c r="A26" s="23" t="s">
        <v>66</v>
      </c>
      <c r="B26" s="1" t="s">
        <v>46</v>
      </c>
      <c r="C26" s="1" t="s">
        <v>37</v>
      </c>
      <c r="D26" s="1">
        <v>10</v>
      </c>
      <c r="E26" s="1">
        <v>11</v>
      </c>
      <c r="F26" s="4" t="s">
        <v>38</v>
      </c>
      <c r="H26" s="22">
        <f t="shared" si="2"/>
        <v>-1</v>
      </c>
      <c r="I26" s="22">
        <f t="shared" si="3"/>
        <v>9.0909090909090917</v>
      </c>
    </row>
    <row r="27">
      <c r="A27" s="23" t="s">
        <v>67</v>
      </c>
      <c r="B27" s="1" t="s">
        <v>46</v>
      </c>
      <c r="C27" s="24" t="s">
        <v>51</v>
      </c>
      <c r="F27" s="26" t="s">
        <v>38</v>
      </c>
      <c r="G27" s="1"/>
      <c r="H27" s="22" t="str">
        <f t="shared" si="2"/>
        <v/>
      </c>
      <c r="I27" s="22" t="str">
        <f t="shared" si="3"/>
        <v/>
      </c>
    </row>
    <row r="28">
      <c r="A28" s="23" t="s">
        <v>68</v>
      </c>
      <c r="B28" s="1" t="s">
        <v>46</v>
      </c>
      <c r="C28" s="24" t="s">
        <v>53</v>
      </c>
      <c r="D28" s="1">
        <v>2</v>
      </c>
      <c r="E28" s="1">
        <v>3</v>
      </c>
      <c r="F28" s="4" t="s">
        <v>38</v>
      </c>
      <c r="G28" s="1" t="s">
        <v>69</v>
      </c>
      <c r="H28" s="22">
        <f t="shared" si="2"/>
        <v>-1</v>
      </c>
      <c r="I28" s="22">
        <f t="shared" si="3"/>
        <v>33.333333333333329</v>
      </c>
    </row>
    <row r="29">
      <c r="A29" s="23" t="s">
        <v>70</v>
      </c>
      <c r="B29" s="1" t="s">
        <v>46</v>
      </c>
      <c r="C29" s="24" t="s">
        <v>42</v>
      </c>
      <c r="D29" s="1">
        <v>2</v>
      </c>
      <c r="E29" s="1">
        <v>2.5</v>
      </c>
      <c r="F29" s="4" t="s">
        <v>38</v>
      </c>
      <c r="G29" s="1"/>
      <c r="H29" s="22">
        <f t="shared" si="2"/>
        <v>-0.5</v>
      </c>
      <c r="I29" s="22">
        <f t="shared" si="3"/>
        <v>20</v>
      </c>
    </row>
    <row r="30">
      <c r="A30" s="23" t="s">
        <v>71</v>
      </c>
      <c r="B30" s="1" t="s">
        <v>36</v>
      </c>
      <c r="C30" s="24" t="s">
        <v>59</v>
      </c>
      <c r="D30" s="1">
        <v>2</v>
      </c>
      <c r="E30" s="1">
        <v>2</v>
      </c>
      <c r="F30" s="4" t="s">
        <v>38</v>
      </c>
      <c r="G30" s="1" t="s">
        <v>72</v>
      </c>
      <c r="H30" s="22">
        <f t="shared" si="2"/>
        <v>0</v>
      </c>
      <c r="I30" s="22">
        <f t="shared" si="3"/>
        <v>0</v>
      </c>
    </row>
    <row r="31">
      <c r="A31" s="23" t="s">
        <v>73</v>
      </c>
      <c r="B31" s="1" t="s">
        <v>46</v>
      </c>
      <c r="C31" s="24" t="s">
        <v>55</v>
      </c>
      <c r="F31" s="4" t="s">
        <v>38</v>
      </c>
      <c r="G31" s="1"/>
      <c r="H31" s="22" t="str">
        <f t="shared" si="2"/>
        <v/>
      </c>
      <c r="I31" s="22" t="str">
        <f t="shared" si="3"/>
        <v/>
      </c>
    </row>
    <row r="32">
      <c r="A32" t="s">
        <v>74</v>
      </c>
      <c r="B32" s="1" t="s">
        <v>46</v>
      </c>
      <c r="C32" s="1" t="s">
        <v>51</v>
      </c>
      <c r="F32" s="4" t="s">
        <v>38</v>
      </c>
      <c r="H32" s="22" t="str">
        <f t="shared" si="2"/>
        <v/>
      </c>
      <c r="I32" s="22" t="str">
        <f t="shared" si="3"/>
        <v/>
      </c>
    </row>
    <row r="33">
      <c r="A33" t="s">
        <v>75</v>
      </c>
      <c r="B33" s="1" t="s">
        <v>46</v>
      </c>
      <c r="C33" s="1" t="s">
        <v>55</v>
      </c>
      <c r="F33" s="4" t="s">
        <v>38</v>
      </c>
      <c r="H33" s="22" t="str">
        <f t="shared" si="2"/>
        <v/>
      </c>
      <c r="I33" s="22" t="str">
        <f t="shared" si="3"/>
        <v/>
      </c>
    </row>
    <row r="34">
      <c r="A34" s="23" t="s">
        <v>76</v>
      </c>
      <c r="B34" s="1" t="s">
        <v>36</v>
      </c>
      <c r="C34" s="24" t="s">
        <v>77</v>
      </c>
      <c r="D34" s="1">
        <v>2</v>
      </c>
      <c r="E34" s="1">
        <v>3</v>
      </c>
      <c r="F34" s="4" t="s">
        <v>38</v>
      </c>
      <c r="G34" s="1" t="s">
        <v>78</v>
      </c>
      <c r="H34" s="22">
        <f t="shared" si="2"/>
        <v>-1</v>
      </c>
      <c r="I34" s="22">
        <f t="shared" si="3"/>
        <v>33.333333333333329</v>
      </c>
    </row>
    <row r="35">
      <c r="A35" t="s">
        <v>79</v>
      </c>
      <c r="B35" s="1" t="s">
        <v>46</v>
      </c>
      <c r="C35" s="1" t="s">
        <v>53</v>
      </c>
      <c r="D35" s="1">
        <v>1</v>
      </c>
      <c r="E35" s="1">
        <v>1.5</v>
      </c>
      <c r="F35" s="4" t="s">
        <v>38</v>
      </c>
      <c r="G35" s="4" t="s">
        <v>80</v>
      </c>
      <c r="H35" s="22">
        <f t="shared" si="2"/>
        <v>-0.5</v>
      </c>
      <c r="I35" s="22">
        <f t="shared" si="3"/>
        <v>33.333333333333329</v>
      </c>
    </row>
    <row r="36">
      <c r="A36" t="s">
        <v>81</v>
      </c>
      <c r="B36" s="1" t="s">
        <v>46</v>
      </c>
      <c r="C36" s="1" t="s">
        <v>55</v>
      </c>
      <c r="F36" s="4" t="s">
        <v>38</v>
      </c>
      <c r="H36" s="22" t="str">
        <f t="shared" si="2"/>
        <v/>
      </c>
      <c r="I36" s="22" t="str">
        <f t="shared" si="3"/>
        <v/>
      </c>
    </row>
    <row r="37">
      <c r="A37" t="s">
        <v>82</v>
      </c>
      <c r="B37" s="1" t="s">
        <v>46</v>
      </c>
      <c r="C37" s="1" t="s">
        <v>37</v>
      </c>
      <c r="D37" s="1">
        <v>1</v>
      </c>
      <c r="E37" s="1">
        <v>1</v>
      </c>
      <c r="F37" s="4" t="s">
        <v>38</v>
      </c>
      <c r="H37" s="22">
        <f t="shared" si="2"/>
        <v>0</v>
      </c>
      <c r="I37" s="22">
        <f t="shared" si="3"/>
        <v>0</v>
      </c>
    </row>
    <row r="38">
      <c r="A38" t="s">
        <v>83</v>
      </c>
      <c r="B38" s="1" t="s">
        <v>46</v>
      </c>
      <c r="C38" s="1" t="s">
        <v>51</v>
      </c>
      <c r="F38" s="4" t="s">
        <v>38</v>
      </c>
      <c r="H38" s="22" t="str">
        <f t="shared" si="2"/>
        <v/>
      </c>
      <c r="I38" s="22" t="str">
        <f t="shared" si="3"/>
        <v/>
      </c>
    </row>
    <row r="39">
      <c r="B39" s="1"/>
      <c r="H39" s="22" t="str">
        <f t="shared" si="2"/>
        <v/>
      </c>
      <c r="I39" s="22" t="str">
        <f t="shared" si="3"/>
        <v/>
      </c>
    </row>
    <row r="40">
      <c r="A40" s="17" t="s">
        <v>84</v>
      </c>
      <c r="B40" s="18"/>
      <c r="C40" s="19"/>
      <c r="D40" s="19"/>
      <c r="E40" s="19"/>
      <c r="F40" s="21"/>
      <c r="G40" s="18"/>
      <c r="H40" s="22" t="str">
        <f t="shared" si="2"/>
        <v/>
      </c>
      <c r="I40" s="22" t="str">
        <f t="shared" si="3"/>
        <v/>
      </c>
    </row>
    <row r="41">
      <c r="A41" t="s">
        <v>85</v>
      </c>
      <c r="B41" s="1" t="s">
        <v>41</v>
      </c>
      <c r="C41" s="1" t="s">
        <v>42</v>
      </c>
      <c r="D41" s="1">
        <v>3</v>
      </c>
      <c r="F41" s="27" t="s">
        <v>86</v>
      </c>
      <c r="H41" s="22" t="str">
        <f t="shared" si="2"/>
        <v/>
      </c>
      <c r="I41" s="22" t="str">
        <f t="shared" si="3"/>
        <v/>
      </c>
    </row>
    <row r="42">
      <c r="A42" s="28" t="s">
        <v>87</v>
      </c>
      <c r="B42" s="1" t="s">
        <v>46</v>
      </c>
      <c r="C42" s="1" t="s">
        <v>37</v>
      </c>
      <c r="D42" s="1">
        <v>3</v>
      </c>
      <c r="E42" s="1">
        <v>3</v>
      </c>
      <c r="F42" s="4" t="s">
        <v>38</v>
      </c>
      <c r="H42" s="22">
        <v>0</v>
      </c>
      <c r="I42" s="22">
        <v>0</v>
      </c>
    </row>
    <row r="43">
      <c r="A43" t="s">
        <v>88</v>
      </c>
      <c r="B43" s="1" t="s">
        <v>46</v>
      </c>
      <c r="C43" s="1" t="s">
        <v>89</v>
      </c>
      <c r="D43" s="1">
        <v>0.5</v>
      </c>
      <c r="E43" s="1">
        <v>0.20000000000000001</v>
      </c>
      <c r="F43" s="4" t="s">
        <v>38</v>
      </c>
      <c r="H43" s="22">
        <f t="shared" si="2"/>
        <v>0.29999999999999999</v>
      </c>
      <c r="I43" s="22">
        <f t="shared" si="3"/>
        <v>149.99999999999997</v>
      </c>
    </row>
    <row r="44">
      <c r="A44" t="s">
        <v>90</v>
      </c>
      <c r="B44" s="1" t="s">
        <v>36</v>
      </c>
      <c r="C44" s="1" t="s">
        <v>59</v>
      </c>
      <c r="D44" s="1">
        <v>1.5</v>
      </c>
      <c r="E44" s="1">
        <v>1.5</v>
      </c>
      <c r="F44" s="4" t="s">
        <v>38</v>
      </c>
      <c r="H44" s="22"/>
      <c r="I44" s="22"/>
    </row>
    <row r="45">
      <c r="A45" t="s">
        <v>91</v>
      </c>
      <c r="B45" s="1" t="s">
        <v>46</v>
      </c>
      <c r="C45" s="1" t="s">
        <v>37</v>
      </c>
      <c r="D45" s="1">
        <v>2</v>
      </c>
      <c r="E45" s="1">
        <v>2</v>
      </c>
      <c r="F45" s="4" t="s">
        <v>38</v>
      </c>
      <c r="H45" s="22"/>
      <c r="I45" s="22"/>
    </row>
    <row r="46">
      <c r="A46" t="s">
        <v>92</v>
      </c>
      <c r="B46" s="1" t="s">
        <v>93</v>
      </c>
      <c r="C46" s="1" t="s">
        <v>59</v>
      </c>
      <c r="D46" s="1">
        <v>3</v>
      </c>
      <c r="E46" s="1">
        <v>3</v>
      </c>
      <c r="F46" s="4" t="s">
        <v>38</v>
      </c>
      <c r="H46" s="22">
        <f t="shared" si="2"/>
        <v>0</v>
      </c>
      <c r="I46" s="22">
        <f t="shared" si="3"/>
        <v>0</v>
      </c>
    </row>
    <row r="47">
      <c r="A47" s="17" t="s">
        <v>94</v>
      </c>
      <c r="B47" s="18"/>
      <c r="C47" s="19"/>
      <c r="D47" s="19"/>
      <c r="E47" s="19"/>
      <c r="F47" s="21"/>
      <c r="G47" s="18"/>
      <c r="H47" s="22" t="str">
        <f t="shared" si="2"/>
        <v/>
      </c>
      <c r="I47" s="22" t="str">
        <f t="shared" si="3"/>
        <v/>
      </c>
    </row>
    <row r="48">
      <c r="A48" t="s">
        <v>95</v>
      </c>
      <c r="B48" t="s">
        <v>46</v>
      </c>
      <c r="C48" s="1" t="s">
        <v>89</v>
      </c>
      <c r="D48" s="1">
        <v>4</v>
      </c>
      <c r="E48" s="1">
        <v>6</v>
      </c>
      <c r="F48" s="4" t="s">
        <v>38</v>
      </c>
      <c r="H48" s="22">
        <f t="shared" si="2"/>
        <v>-2</v>
      </c>
      <c r="I48" s="22">
        <f t="shared" si="3"/>
        <v>33.333333333333329</v>
      </c>
    </row>
    <row r="49">
      <c r="A49" t="s">
        <v>96</v>
      </c>
      <c r="B49" t="s">
        <v>46</v>
      </c>
      <c r="C49" s="1" t="s">
        <v>89</v>
      </c>
      <c r="D49" s="1">
        <v>1</v>
      </c>
      <c r="E49" s="1">
        <v>0.5</v>
      </c>
      <c r="F49" s="4" t="s">
        <v>38</v>
      </c>
      <c r="H49" s="22">
        <f t="shared" si="2"/>
        <v>0.5</v>
      </c>
      <c r="I49" s="22">
        <f t="shared" si="3"/>
        <v>100</v>
      </c>
    </row>
    <row r="50">
      <c r="A50" t="s">
        <v>97</v>
      </c>
      <c r="B50" t="s">
        <v>46</v>
      </c>
      <c r="C50" s="1" t="s">
        <v>89</v>
      </c>
      <c r="D50" s="1">
        <v>1</v>
      </c>
      <c r="E50" s="1">
        <v>0.75</v>
      </c>
      <c r="F50" s="4" t="s">
        <v>38</v>
      </c>
      <c r="H50" s="22">
        <f t="shared" si="2"/>
        <v>0.25</v>
      </c>
      <c r="I50" s="22">
        <f t="shared" si="3"/>
        <v>33.333333333333329</v>
      </c>
    </row>
    <row r="51">
      <c r="A51" s="28" t="s">
        <v>98</v>
      </c>
      <c r="B51" t="s">
        <v>46</v>
      </c>
      <c r="C51" s="1" t="s">
        <v>37</v>
      </c>
      <c r="D51" s="1">
        <v>1</v>
      </c>
      <c r="E51" s="1">
        <v>1</v>
      </c>
      <c r="F51" s="4" t="s">
        <v>38</v>
      </c>
      <c r="H51" s="22">
        <f t="shared" si="2"/>
        <v>0</v>
      </c>
      <c r="I51" s="22">
        <f t="shared" si="3"/>
        <v>0</v>
      </c>
    </row>
    <row r="52">
      <c r="A52" s="28" t="s">
        <v>99</v>
      </c>
      <c r="B52" t="s">
        <v>46</v>
      </c>
      <c r="C52" s="1" t="s">
        <v>37</v>
      </c>
      <c r="D52" s="1">
        <v>2.5</v>
      </c>
      <c r="F52" s="4" t="s">
        <v>86</v>
      </c>
      <c r="H52" s="22" t="str">
        <f t="shared" si="2"/>
        <v/>
      </c>
      <c r="I52" s="22" t="str">
        <f t="shared" si="3"/>
        <v/>
      </c>
    </row>
    <row r="53">
      <c r="A53" t="s">
        <v>100</v>
      </c>
      <c r="B53" t="s">
        <v>46</v>
      </c>
      <c r="C53" s="1" t="s">
        <v>89</v>
      </c>
      <c r="D53" s="1">
        <v>3</v>
      </c>
      <c r="E53" s="1">
        <v>4</v>
      </c>
      <c r="F53" s="4" t="s">
        <v>38</v>
      </c>
      <c r="H53" s="22">
        <f t="shared" si="2"/>
        <v>-1</v>
      </c>
      <c r="I53" s="22">
        <f t="shared" si="3"/>
        <v>25</v>
      </c>
    </row>
    <row r="54">
      <c r="A54" t="s">
        <v>101</v>
      </c>
      <c r="B54" t="s">
        <v>41</v>
      </c>
      <c r="C54" s="29" t="s">
        <v>102</v>
      </c>
      <c r="D54" s="1">
        <v>2</v>
      </c>
      <c r="E54" s="1">
        <v>3</v>
      </c>
      <c r="F54" s="30" t="s">
        <v>38</v>
      </c>
      <c r="H54" s="22">
        <f t="shared" si="2"/>
        <v>-1</v>
      </c>
      <c r="I54" s="22">
        <f t="shared" si="3"/>
        <v>33.333333333333329</v>
      </c>
    </row>
    <row r="55">
      <c r="A55" t="s">
        <v>103</v>
      </c>
      <c r="B55" t="s">
        <v>46</v>
      </c>
      <c r="C55" s="29" t="s">
        <v>89</v>
      </c>
      <c r="D55" s="1">
        <v>1</v>
      </c>
      <c r="E55" s="1">
        <v>1.5</v>
      </c>
      <c r="F55" s="30" t="s">
        <v>38</v>
      </c>
      <c r="H55" s="22">
        <f t="shared" si="2"/>
        <v>-0.5</v>
      </c>
      <c r="I55" s="22">
        <f t="shared" si="3"/>
        <v>33.333333333333329</v>
      </c>
    </row>
    <row r="56">
      <c r="A56" t="s">
        <v>104</v>
      </c>
      <c r="B56" t="s">
        <v>46</v>
      </c>
      <c r="C56" s="29" t="s">
        <v>89</v>
      </c>
      <c r="D56" s="1">
        <v>2</v>
      </c>
      <c r="E56" s="1">
        <v>2.5</v>
      </c>
      <c r="F56" s="30" t="s">
        <v>38</v>
      </c>
      <c r="H56" s="22">
        <f t="shared" si="2"/>
        <v>-0.5</v>
      </c>
      <c r="I56" s="22">
        <f t="shared" si="3"/>
        <v>20</v>
      </c>
    </row>
    <row r="57">
      <c r="H57" s="22" t="str">
        <f t="shared" si="2"/>
        <v/>
      </c>
      <c r="I57" s="22" t="str">
        <f t="shared" si="3"/>
        <v/>
      </c>
    </row>
    <row r="58">
      <c r="H58" s="22" t="str">
        <f t="shared" si="2"/>
        <v/>
      </c>
      <c r="I58" s="22" t="str">
        <f t="shared" si="3"/>
        <v/>
      </c>
    </row>
    <row r="59">
      <c r="H59" s="22" t="str">
        <f t="shared" si="2"/>
        <v/>
      </c>
      <c r="I59" s="22" t="str">
        <f t="shared" si="3"/>
        <v/>
      </c>
    </row>
    <row r="60">
      <c r="H60" s="22" t="str">
        <f t="shared" si="2"/>
        <v/>
      </c>
      <c r="I60" s="22" t="str">
        <f t="shared" si="3"/>
        <v/>
      </c>
    </row>
    <row r="61">
      <c r="H61" s="22" t="str">
        <f t="shared" si="2"/>
        <v/>
      </c>
      <c r="I61" s="22" t="str">
        <f t="shared" si="3"/>
        <v/>
      </c>
    </row>
    <row r="62">
      <c r="H62" s="22" t="str">
        <f t="shared" si="2"/>
        <v/>
      </c>
      <c r="I62" s="22" t="str">
        <f t="shared" si="3"/>
        <v/>
      </c>
    </row>
    <row r="63">
      <c r="H63" s="22" t="str">
        <f t="shared" si="2"/>
        <v/>
      </c>
      <c r="I63" s="22" t="str">
        <f t="shared" si="3"/>
        <v/>
      </c>
    </row>
    <row r="64">
      <c r="H64" s="22" t="str">
        <f t="shared" si="2"/>
        <v/>
      </c>
      <c r="I64" s="22" t="str">
        <f t="shared" si="3"/>
        <v/>
      </c>
    </row>
    <row r="65">
      <c r="H65" s="22" t="str">
        <f t="shared" si="2"/>
        <v/>
      </c>
      <c r="I65" s="22" t="str">
        <f t="shared" si="3"/>
        <v/>
      </c>
    </row>
    <row r="66">
      <c r="H66" s="22" t="str">
        <f t="shared" si="2"/>
        <v/>
      </c>
      <c r="I66" s="22" t="str">
        <f t="shared" si="3"/>
        <v/>
      </c>
    </row>
    <row r="67">
      <c r="H67" s="22" t="str">
        <f t="shared" si="2"/>
        <v/>
      </c>
      <c r="I67" s="22" t="str">
        <f t="shared" si="3"/>
        <v/>
      </c>
    </row>
    <row r="68">
      <c r="H68" s="22" t="str">
        <f t="shared" si="2"/>
        <v/>
      </c>
      <c r="I68" s="22" t="str">
        <f t="shared" si="3"/>
        <v/>
      </c>
    </row>
    <row r="69">
      <c r="H69" s="22" t="str">
        <f t="shared" si="2"/>
        <v/>
      </c>
      <c r="I69" s="22" t="str">
        <f t="shared" si="3"/>
        <v/>
      </c>
    </row>
    <row r="70">
      <c r="H70" s="22" t="str">
        <f t="shared" si="2"/>
        <v/>
      </c>
      <c r="I70" s="22" t="str">
        <f t="shared" si="3"/>
        <v/>
      </c>
    </row>
    <row r="71">
      <c r="H71" s="22" t="str">
        <f t="shared" si="2"/>
        <v/>
      </c>
      <c r="I71" s="22" t="str">
        <f t="shared" si="3"/>
        <v/>
      </c>
    </row>
    <row r="72">
      <c r="H72" s="22" t="str">
        <f t="shared" si="2"/>
        <v/>
      </c>
      <c r="I72" s="22" t="str">
        <f t="shared" si="3"/>
        <v/>
      </c>
    </row>
    <row r="73">
      <c r="H73" s="22" t="str">
        <f t="shared" si="2"/>
        <v/>
      </c>
      <c r="I73" s="22" t="str">
        <f t="shared" si="3"/>
        <v/>
      </c>
    </row>
    <row r="74">
      <c r="H74" s="22" t="str">
        <f t="shared" ref="H74:H102" si="4">IF(OR(D74="",E74=""),"",D74-E74)</f>
        <v/>
      </c>
      <c r="I74" s="22" t="str">
        <f t="shared" ref="I74:I102" si="5">IF(OR(H74="",E74=0),"",ABS(H74)/E74*100)</f>
        <v/>
      </c>
    </row>
    <row r="75">
      <c r="H75" s="22" t="str">
        <f t="shared" si="4"/>
        <v/>
      </c>
      <c r="I75" s="22" t="str">
        <f t="shared" si="5"/>
        <v/>
      </c>
    </row>
    <row r="76">
      <c r="H76" s="22" t="str">
        <f t="shared" si="4"/>
        <v/>
      </c>
      <c r="I76" s="22" t="str">
        <f t="shared" si="5"/>
        <v/>
      </c>
    </row>
    <row r="77">
      <c r="H77" s="22" t="str">
        <f t="shared" si="4"/>
        <v/>
      </c>
      <c r="I77" s="22" t="str">
        <f t="shared" si="5"/>
        <v/>
      </c>
    </row>
    <row r="78">
      <c r="H78" s="22" t="str">
        <f t="shared" si="4"/>
        <v/>
      </c>
      <c r="I78" s="22" t="str">
        <f t="shared" si="5"/>
        <v/>
      </c>
    </row>
    <row r="79">
      <c r="H79" s="22" t="str">
        <f t="shared" si="4"/>
        <v/>
      </c>
      <c r="I79" s="22" t="str">
        <f t="shared" si="5"/>
        <v/>
      </c>
    </row>
    <row r="80">
      <c r="H80" s="22" t="str">
        <f t="shared" si="4"/>
        <v/>
      </c>
      <c r="I80" s="22" t="str">
        <f t="shared" si="5"/>
        <v/>
      </c>
    </row>
    <row r="81">
      <c r="H81" s="22" t="str">
        <f t="shared" si="4"/>
        <v/>
      </c>
      <c r="I81" s="22" t="str">
        <f t="shared" si="5"/>
        <v/>
      </c>
    </row>
    <row r="82">
      <c r="H82" s="22" t="str">
        <f t="shared" si="4"/>
        <v/>
      </c>
      <c r="I82" s="22" t="str">
        <f t="shared" si="5"/>
        <v/>
      </c>
    </row>
    <row r="83">
      <c r="H83" s="22" t="str">
        <f t="shared" si="4"/>
        <v/>
      </c>
      <c r="I83" s="22" t="str">
        <f t="shared" si="5"/>
        <v/>
      </c>
    </row>
    <row r="84">
      <c r="H84" s="22" t="str">
        <f t="shared" si="4"/>
        <v/>
      </c>
      <c r="I84" s="22" t="str">
        <f t="shared" si="5"/>
        <v/>
      </c>
    </row>
    <row r="85">
      <c r="H85" s="22" t="str">
        <f t="shared" si="4"/>
        <v/>
      </c>
      <c r="I85" s="22" t="str">
        <f t="shared" si="5"/>
        <v/>
      </c>
    </row>
    <row r="86">
      <c r="H86" s="22" t="str">
        <f t="shared" si="4"/>
        <v/>
      </c>
      <c r="I86" s="22" t="str">
        <f t="shared" si="5"/>
        <v/>
      </c>
    </row>
    <row r="87">
      <c r="H87" s="22" t="str">
        <f t="shared" si="4"/>
        <v/>
      </c>
      <c r="I87" s="22" t="str">
        <f t="shared" si="5"/>
        <v/>
      </c>
    </row>
    <row r="88">
      <c r="H88" s="22" t="str">
        <f t="shared" si="4"/>
        <v/>
      </c>
      <c r="I88" s="22" t="str">
        <f t="shared" si="5"/>
        <v/>
      </c>
    </row>
    <row r="89">
      <c r="H89" s="22" t="str">
        <f t="shared" si="4"/>
        <v/>
      </c>
      <c r="I89" s="22" t="str">
        <f t="shared" si="5"/>
        <v/>
      </c>
    </row>
    <row r="90">
      <c r="H90" s="22" t="str">
        <f t="shared" si="4"/>
        <v/>
      </c>
      <c r="I90" s="22" t="str">
        <f t="shared" si="5"/>
        <v/>
      </c>
    </row>
    <row r="91">
      <c r="H91" s="22" t="str">
        <f t="shared" si="4"/>
        <v/>
      </c>
      <c r="I91" s="22" t="str">
        <f t="shared" si="5"/>
        <v/>
      </c>
    </row>
    <row r="92">
      <c r="H92" s="22" t="str">
        <f t="shared" si="4"/>
        <v/>
      </c>
      <c r="I92" s="22" t="str">
        <f t="shared" si="5"/>
        <v/>
      </c>
    </row>
    <row r="93">
      <c r="H93" s="22" t="str">
        <f t="shared" si="4"/>
        <v/>
      </c>
      <c r="I93" s="22" t="str">
        <f t="shared" si="5"/>
        <v/>
      </c>
    </row>
    <row r="94">
      <c r="H94" s="22" t="str">
        <f t="shared" si="4"/>
        <v/>
      </c>
      <c r="I94" s="22" t="str">
        <f t="shared" si="5"/>
        <v/>
      </c>
    </row>
    <row r="95">
      <c r="H95" s="22" t="str">
        <f t="shared" si="4"/>
        <v/>
      </c>
      <c r="I95" s="22" t="str">
        <f t="shared" si="5"/>
        <v/>
      </c>
    </row>
    <row r="96">
      <c r="H96" s="22" t="str">
        <f t="shared" si="4"/>
        <v/>
      </c>
      <c r="I96" s="22" t="str">
        <f t="shared" si="5"/>
        <v/>
      </c>
    </row>
    <row r="97">
      <c r="H97" s="22" t="str">
        <f t="shared" si="4"/>
        <v/>
      </c>
      <c r="I97" s="22" t="str">
        <f t="shared" si="5"/>
        <v/>
      </c>
    </row>
    <row r="98">
      <c r="H98" s="22" t="str">
        <f t="shared" si="4"/>
        <v/>
      </c>
      <c r="I98" s="22" t="str">
        <f t="shared" si="5"/>
        <v/>
      </c>
    </row>
    <row r="99">
      <c r="H99" s="22" t="str">
        <f t="shared" si="4"/>
        <v/>
      </c>
      <c r="I99" s="22" t="str">
        <f t="shared" si="5"/>
        <v/>
      </c>
    </row>
    <row r="100">
      <c r="H100" s="22" t="str">
        <f t="shared" si="4"/>
        <v/>
      </c>
      <c r="I100" s="22" t="str">
        <f t="shared" si="5"/>
        <v/>
      </c>
    </row>
    <row r="101">
      <c r="H101" s="22" t="str">
        <f t="shared" si="4"/>
        <v/>
      </c>
      <c r="I101" s="22" t="str">
        <f t="shared" si="5"/>
        <v/>
      </c>
    </row>
    <row r="102">
      <c r="H102" s="22" t="str">
        <f t="shared" si="4"/>
        <v/>
      </c>
      <c r="I102" s="22" t="str">
        <f t="shared" si="5"/>
        <v/>
      </c>
    </row>
    <row r="103">
      <c r="H103" s="22" t="str">
        <f t="shared" ref="H103:H166" si="6">IF(OR(D103="",E103=""),"",D103-E103)</f>
        <v/>
      </c>
      <c r="I103" s="22" t="str">
        <f t="shared" ref="I103:I166" si="7">IF(OR(H103="",E103=0),"",ABS(H103)/E103*100)</f>
        <v/>
      </c>
    </row>
    <row r="104">
      <c r="H104" s="22" t="str">
        <f t="shared" si="6"/>
        <v/>
      </c>
      <c r="I104" s="22" t="str">
        <f t="shared" si="7"/>
        <v/>
      </c>
    </row>
    <row r="105">
      <c r="H105" s="22" t="str">
        <f t="shared" si="6"/>
        <v/>
      </c>
      <c r="I105" s="22" t="str">
        <f t="shared" si="7"/>
        <v/>
      </c>
    </row>
    <row r="106">
      <c r="H106" s="22" t="str">
        <f t="shared" si="6"/>
        <v/>
      </c>
      <c r="I106" s="22" t="str">
        <f t="shared" si="7"/>
        <v/>
      </c>
    </row>
    <row r="107">
      <c r="H107" s="22" t="str">
        <f t="shared" si="6"/>
        <v/>
      </c>
      <c r="I107" s="22" t="str">
        <f t="shared" si="7"/>
        <v/>
      </c>
    </row>
    <row r="108">
      <c r="H108" s="22" t="str">
        <f t="shared" si="6"/>
        <v/>
      </c>
      <c r="I108" s="22" t="str">
        <f t="shared" si="7"/>
        <v/>
      </c>
    </row>
    <row r="109">
      <c r="H109" s="22" t="str">
        <f t="shared" si="6"/>
        <v/>
      </c>
      <c r="I109" s="22" t="str">
        <f t="shared" si="7"/>
        <v/>
      </c>
    </row>
    <row r="110">
      <c r="H110" s="22" t="str">
        <f t="shared" si="6"/>
        <v/>
      </c>
      <c r="I110" s="22" t="str">
        <f t="shared" si="7"/>
        <v/>
      </c>
    </row>
    <row r="111">
      <c r="H111" s="22" t="str">
        <f t="shared" si="6"/>
        <v/>
      </c>
      <c r="I111" s="22" t="str">
        <f t="shared" si="7"/>
        <v/>
      </c>
    </row>
    <row r="112">
      <c r="H112" s="22" t="str">
        <f t="shared" si="6"/>
        <v/>
      </c>
      <c r="I112" s="22" t="str">
        <f t="shared" si="7"/>
        <v/>
      </c>
    </row>
    <row r="113">
      <c r="H113" s="22" t="str">
        <f t="shared" si="6"/>
        <v/>
      </c>
      <c r="I113" s="22" t="str">
        <f t="shared" si="7"/>
        <v/>
      </c>
    </row>
    <row r="114">
      <c r="H114" s="22" t="str">
        <f t="shared" si="6"/>
        <v/>
      </c>
      <c r="I114" s="22" t="str">
        <f t="shared" si="7"/>
        <v/>
      </c>
    </row>
    <row r="115">
      <c r="H115" s="22" t="str">
        <f t="shared" si="6"/>
        <v/>
      </c>
      <c r="I115" s="22" t="str">
        <f t="shared" si="7"/>
        <v/>
      </c>
    </row>
    <row r="116">
      <c r="H116" s="22" t="str">
        <f t="shared" si="6"/>
        <v/>
      </c>
      <c r="I116" s="22" t="str">
        <f t="shared" si="7"/>
        <v/>
      </c>
    </row>
    <row r="117">
      <c r="H117" s="22" t="str">
        <f t="shared" si="6"/>
        <v/>
      </c>
      <c r="I117" s="22" t="str">
        <f t="shared" si="7"/>
        <v/>
      </c>
    </row>
    <row r="118">
      <c r="H118" s="22" t="str">
        <f t="shared" si="6"/>
        <v/>
      </c>
      <c r="I118" s="22" t="str">
        <f t="shared" si="7"/>
        <v/>
      </c>
    </row>
    <row r="119">
      <c r="H119" s="22" t="str">
        <f t="shared" si="6"/>
        <v/>
      </c>
      <c r="I119" s="22" t="str">
        <f t="shared" si="7"/>
        <v/>
      </c>
    </row>
    <row r="120">
      <c r="H120" s="22" t="str">
        <f t="shared" si="6"/>
        <v/>
      </c>
      <c r="I120" s="22" t="str">
        <f t="shared" si="7"/>
        <v/>
      </c>
    </row>
    <row r="121">
      <c r="H121" s="22" t="str">
        <f t="shared" si="6"/>
        <v/>
      </c>
      <c r="I121" s="22" t="str">
        <f t="shared" si="7"/>
        <v/>
      </c>
    </row>
    <row r="122">
      <c r="H122" s="22" t="str">
        <f t="shared" si="6"/>
        <v/>
      </c>
      <c r="I122" s="22" t="str">
        <f t="shared" si="7"/>
        <v/>
      </c>
    </row>
    <row r="123">
      <c r="H123" s="22" t="str">
        <f t="shared" si="6"/>
        <v/>
      </c>
      <c r="I123" s="22" t="str">
        <f t="shared" si="7"/>
        <v/>
      </c>
    </row>
    <row r="124">
      <c r="H124" s="22" t="str">
        <f t="shared" si="6"/>
        <v/>
      </c>
      <c r="I124" s="22" t="str">
        <f t="shared" si="7"/>
        <v/>
      </c>
    </row>
    <row r="125">
      <c r="H125" s="22" t="str">
        <f t="shared" si="6"/>
        <v/>
      </c>
      <c r="I125" s="22" t="str">
        <f t="shared" si="7"/>
        <v/>
      </c>
    </row>
    <row r="126">
      <c r="H126" s="22" t="str">
        <f t="shared" si="6"/>
        <v/>
      </c>
      <c r="I126" s="22" t="str">
        <f t="shared" si="7"/>
        <v/>
      </c>
    </row>
    <row r="127">
      <c r="H127" s="22" t="str">
        <f t="shared" si="6"/>
        <v/>
      </c>
      <c r="I127" s="22" t="str">
        <f t="shared" si="7"/>
        <v/>
      </c>
    </row>
    <row r="128">
      <c r="H128" s="22" t="str">
        <f t="shared" si="6"/>
        <v/>
      </c>
      <c r="I128" s="22" t="str">
        <f t="shared" si="7"/>
        <v/>
      </c>
    </row>
    <row r="129">
      <c r="H129" s="22" t="str">
        <f t="shared" si="6"/>
        <v/>
      </c>
      <c r="I129" s="22" t="str">
        <f t="shared" si="7"/>
        <v/>
      </c>
    </row>
    <row r="130">
      <c r="H130" s="22" t="str">
        <f t="shared" si="6"/>
        <v/>
      </c>
      <c r="I130" s="22" t="str">
        <f t="shared" si="7"/>
        <v/>
      </c>
    </row>
    <row r="131">
      <c r="H131" s="22" t="str">
        <f t="shared" si="6"/>
        <v/>
      </c>
      <c r="I131" s="22" t="str">
        <f t="shared" si="7"/>
        <v/>
      </c>
    </row>
    <row r="132">
      <c r="H132" s="22" t="str">
        <f t="shared" si="6"/>
        <v/>
      </c>
      <c r="I132" s="22" t="str">
        <f t="shared" si="7"/>
        <v/>
      </c>
    </row>
    <row r="133">
      <c r="H133" s="22" t="str">
        <f t="shared" si="6"/>
        <v/>
      </c>
      <c r="I133" s="22" t="str">
        <f t="shared" si="7"/>
        <v/>
      </c>
    </row>
    <row r="134">
      <c r="H134" s="22" t="str">
        <f t="shared" si="6"/>
        <v/>
      </c>
      <c r="I134" s="22" t="str">
        <f t="shared" si="7"/>
        <v/>
      </c>
    </row>
    <row r="135">
      <c r="H135" s="22" t="str">
        <f t="shared" si="6"/>
        <v/>
      </c>
      <c r="I135" s="22" t="str">
        <f t="shared" si="7"/>
        <v/>
      </c>
    </row>
    <row r="136">
      <c r="H136" s="22" t="str">
        <f t="shared" si="6"/>
        <v/>
      </c>
      <c r="I136" s="22" t="str">
        <f t="shared" si="7"/>
        <v/>
      </c>
    </row>
    <row r="137">
      <c r="H137" s="22" t="str">
        <f t="shared" si="6"/>
        <v/>
      </c>
      <c r="I137" s="22" t="str">
        <f t="shared" si="7"/>
        <v/>
      </c>
    </row>
    <row r="138">
      <c r="H138" s="22" t="str">
        <f t="shared" si="6"/>
        <v/>
      </c>
      <c r="I138" s="22" t="str">
        <f t="shared" si="7"/>
        <v/>
      </c>
    </row>
    <row r="139">
      <c r="H139" s="22" t="str">
        <f t="shared" si="6"/>
        <v/>
      </c>
      <c r="I139" s="22" t="str">
        <f t="shared" si="7"/>
        <v/>
      </c>
    </row>
    <row r="140">
      <c r="H140" s="22" t="str">
        <f t="shared" si="6"/>
        <v/>
      </c>
      <c r="I140" s="22" t="str">
        <f t="shared" si="7"/>
        <v/>
      </c>
    </row>
    <row r="141">
      <c r="H141" s="22" t="str">
        <f t="shared" si="6"/>
        <v/>
      </c>
      <c r="I141" s="22" t="str">
        <f t="shared" si="7"/>
        <v/>
      </c>
    </row>
    <row r="142">
      <c r="H142" s="22" t="str">
        <f t="shared" si="6"/>
        <v/>
      </c>
      <c r="I142" s="22" t="str">
        <f t="shared" si="7"/>
        <v/>
      </c>
    </row>
    <row r="143">
      <c r="H143" s="22" t="str">
        <f t="shared" si="6"/>
        <v/>
      </c>
      <c r="I143" s="22" t="str">
        <f t="shared" si="7"/>
        <v/>
      </c>
    </row>
    <row r="144">
      <c r="H144" s="22" t="str">
        <f t="shared" si="6"/>
        <v/>
      </c>
      <c r="I144" s="22" t="str">
        <f t="shared" si="7"/>
        <v/>
      </c>
    </row>
    <row r="145">
      <c r="H145" s="22" t="str">
        <f t="shared" si="6"/>
        <v/>
      </c>
      <c r="I145" s="22" t="str">
        <f t="shared" si="7"/>
        <v/>
      </c>
    </row>
    <row r="146">
      <c r="H146" s="22" t="str">
        <f t="shared" si="6"/>
        <v/>
      </c>
      <c r="I146" s="22" t="str">
        <f t="shared" si="7"/>
        <v/>
      </c>
    </row>
    <row r="147">
      <c r="H147" s="22" t="str">
        <f t="shared" si="6"/>
        <v/>
      </c>
      <c r="I147" s="22" t="str">
        <f t="shared" si="7"/>
        <v/>
      </c>
    </row>
    <row r="148">
      <c r="H148" s="22" t="str">
        <f t="shared" si="6"/>
        <v/>
      </c>
      <c r="I148" s="22" t="str">
        <f t="shared" si="7"/>
        <v/>
      </c>
    </row>
    <row r="149">
      <c r="H149" s="22" t="str">
        <f t="shared" si="6"/>
        <v/>
      </c>
      <c r="I149" s="22" t="str">
        <f t="shared" si="7"/>
        <v/>
      </c>
    </row>
    <row r="150">
      <c r="H150" s="22" t="str">
        <f t="shared" si="6"/>
        <v/>
      </c>
      <c r="I150" s="22" t="str">
        <f t="shared" si="7"/>
        <v/>
      </c>
    </row>
    <row r="151">
      <c r="H151" s="22" t="str">
        <f t="shared" si="6"/>
        <v/>
      </c>
      <c r="I151" s="22" t="str">
        <f t="shared" si="7"/>
        <v/>
      </c>
    </row>
    <row r="152">
      <c r="H152" s="22" t="str">
        <f t="shared" si="6"/>
        <v/>
      </c>
      <c r="I152" s="22" t="str">
        <f t="shared" si="7"/>
        <v/>
      </c>
    </row>
    <row r="153">
      <c r="H153" s="22" t="str">
        <f t="shared" si="6"/>
        <v/>
      </c>
      <c r="I153" s="22" t="str">
        <f t="shared" si="7"/>
        <v/>
      </c>
    </row>
    <row r="154">
      <c r="H154" s="22" t="str">
        <f t="shared" si="6"/>
        <v/>
      </c>
      <c r="I154" s="22" t="str">
        <f t="shared" si="7"/>
        <v/>
      </c>
    </row>
    <row r="155">
      <c r="H155" s="22" t="str">
        <f t="shared" si="6"/>
        <v/>
      </c>
      <c r="I155" s="22" t="str">
        <f t="shared" si="7"/>
        <v/>
      </c>
    </row>
    <row r="156">
      <c r="H156" s="22" t="str">
        <f t="shared" si="6"/>
        <v/>
      </c>
      <c r="I156" s="22" t="str">
        <f t="shared" si="7"/>
        <v/>
      </c>
    </row>
    <row r="157">
      <c r="H157" s="22" t="str">
        <f t="shared" si="6"/>
        <v/>
      </c>
      <c r="I157" s="22" t="str">
        <f t="shared" si="7"/>
        <v/>
      </c>
    </row>
    <row r="158">
      <c r="H158" s="22" t="str">
        <f t="shared" si="6"/>
        <v/>
      </c>
      <c r="I158" s="22" t="str">
        <f t="shared" si="7"/>
        <v/>
      </c>
    </row>
    <row r="159">
      <c r="H159" s="22" t="str">
        <f t="shared" si="6"/>
        <v/>
      </c>
      <c r="I159" s="22" t="str">
        <f t="shared" si="7"/>
        <v/>
      </c>
    </row>
    <row r="160">
      <c r="H160" s="22" t="str">
        <f t="shared" si="6"/>
        <v/>
      </c>
      <c r="I160" s="22" t="str">
        <f t="shared" si="7"/>
        <v/>
      </c>
    </row>
    <row r="161">
      <c r="H161" s="22" t="str">
        <f t="shared" si="6"/>
        <v/>
      </c>
      <c r="I161" s="22" t="str">
        <f t="shared" si="7"/>
        <v/>
      </c>
    </row>
    <row r="162">
      <c r="H162" s="22" t="str">
        <f t="shared" si="6"/>
        <v/>
      </c>
      <c r="I162" s="22" t="str">
        <f t="shared" si="7"/>
        <v/>
      </c>
    </row>
    <row r="163">
      <c r="H163" s="22" t="str">
        <f t="shared" si="6"/>
        <v/>
      </c>
      <c r="I163" s="22" t="str">
        <f t="shared" si="7"/>
        <v/>
      </c>
    </row>
    <row r="164">
      <c r="H164" s="22" t="str">
        <f t="shared" si="6"/>
        <v/>
      </c>
      <c r="I164" s="22" t="str">
        <f t="shared" si="7"/>
        <v/>
      </c>
    </row>
    <row r="165">
      <c r="H165" s="22" t="str">
        <f t="shared" si="6"/>
        <v/>
      </c>
      <c r="I165" s="22" t="str">
        <f t="shared" si="7"/>
        <v/>
      </c>
    </row>
    <row r="166">
      <c r="H166" s="22" t="str">
        <f t="shared" si="6"/>
        <v/>
      </c>
      <c r="I166" s="22" t="str">
        <f t="shared" si="7"/>
        <v/>
      </c>
    </row>
    <row r="167">
      <c r="H167" s="22" t="str">
        <f t="shared" ref="H167:H230" si="8">IF(OR(D167="",E167=""),"",D167-E167)</f>
        <v/>
      </c>
      <c r="I167" s="22" t="str">
        <f t="shared" ref="I167:I230" si="9">IF(OR(H167="",E167=0),"",ABS(H167)/E167*100)</f>
        <v/>
      </c>
    </row>
    <row r="168">
      <c r="H168" s="22" t="str">
        <f t="shared" si="8"/>
        <v/>
      </c>
      <c r="I168" s="22" t="str">
        <f t="shared" si="9"/>
        <v/>
      </c>
    </row>
    <row r="169">
      <c r="H169" s="22" t="str">
        <f t="shared" si="8"/>
        <v/>
      </c>
      <c r="I169" s="22" t="str">
        <f t="shared" si="9"/>
        <v/>
      </c>
    </row>
    <row r="170">
      <c r="H170" s="22" t="str">
        <f t="shared" si="8"/>
        <v/>
      </c>
      <c r="I170" s="22" t="str">
        <f t="shared" si="9"/>
        <v/>
      </c>
    </row>
    <row r="171">
      <c r="H171" s="22" t="str">
        <f t="shared" si="8"/>
        <v/>
      </c>
      <c r="I171" s="22" t="str">
        <f t="shared" si="9"/>
        <v/>
      </c>
    </row>
    <row r="172">
      <c r="H172" s="22" t="str">
        <f t="shared" si="8"/>
        <v/>
      </c>
      <c r="I172" s="22" t="str">
        <f t="shared" si="9"/>
        <v/>
      </c>
    </row>
    <row r="173">
      <c r="H173" s="22" t="str">
        <f t="shared" si="8"/>
        <v/>
      </c>
      <c r="I173" s="22" t="str">
        <f t="shared" si="9"/>
        <v/>
      </c>
    </row>
    <row r="174">
      <c r="H174" s="22" t="str">
        <f t="shared" si="8"/>
        <v/>
      </c>
      <c r="I174" s="22" t="str">
        <f t="shared" si="9"/>
        <v/>
      </c>
    </row>
    <row r="175">
      <c r="H175" s="22" t="str">
        <f t="shared" si="8"/>
        <v/>
      </c>
      <c r="I175" s="22" t="str">
        <f t="shared" si="9"/>
        <v/>
      </c>
    </row>
    <row r="176">
      <c r="H176" s="22" t="str">
        <f t="shared" si="8"/>
        <v/>
      </c>
      <c r="I176" s="22" t="str">
        <f t="shared" si="9"/>
        <v/>
      </c>
    </row>
    <row r="177">
      <c r="H177" s="22" t="str">
        <f t="shared" si="8"/>
        <v/>
      </c>
      <c r="I177" s="22" t="str">
        <f t="shared" si="9"/>
        <v/>
      </c>
    </row>
    <row r="178">
      <c r="H178" s="22" t="str">
        <f t="shared" si="8"/>
        <v/>
      </c>
      <c r="I178" s="22" t="str">
        <f t="shared" si="9"/>
        <v/>
      </c>
    </row>
    <row r="179">
      <c r="H179" s="22" t="str">
        <f t="shared" si="8"/>
        <v/>
      </c>
      <c r="I179" s="22" t="str">
        <f t="shared" si="9"/>
        <v/>
      </c>
    </row>
    <row r="180">
      <c r="H180" s="22" t="str">
        <f t="shared" si="8"/>
        <v/>
      </c>
      <c r="I180" s="22" t="str">
        <f t="shared" si="9"/>
        <v/>
      </c>
    </row>
    <row r="181">
      <c r="H181" s="22" t="str">
        <f t="shared" si="8"/>
        <v/>
      </c>
      <c r="I181" s="22" t="str">
        <f t="shared" si="9"/>
        <v/>
      </c>
    </row>
    <row r="182">
      <c r="H182" s="22" t="str">
        <f t="shared" si="8"/>
        <v/>
      </c>
      <c r="I182" s="22" t="str">
        <f t="shared" si="9"/>
        <v/>
      </c>
    </row>
    <row r="183">
      <c r="H183" s="22" t="str">
        <f t="shared" si="8"/>
        <v/>
      </c>
      <c r="I183" s="22" t="str">
        <f t="shared" si="9"/>
        <v/>
      </c>
    </row>
    <row r="184">
      <c r="H184" s="22" t="str">
        <f t="shared" si="8"/>
        <v/>
      </c>
      <c r="I184" s="22" t="str">
        <f t="shared" si="9"/>
        <v/>
      </c>
    </row>
    <row r="185">
      <c r="H185" s="22" t="str">
        <f t="shared" si="8"/>
        <v/>
      </c>
      <c r="I185" s="22" t="str">
        <f t="shared" si="9"/>
        <v/>
      </c>
    </row>
    <row r="186">
      <c r="H186" s="22" t="str">
        <f t="shared" si="8"/>
        <v/>
      </c>
      <c r="I186" s="22" t="str">
        <f t="shared" si="9"/>
        <v/>
      </c>
    </row>
    <row r="187">
      <c r="H187" s="22" t="str">
        <f t="shared" si="8"/>
        <v/>
      </c>
      <c r="I187" s="22" t="str">
        <f t="shared" si="9"/>
        <v/>
      </c>
    </row>
    <row r="188">
      <c r="H188" s="22" t="str">
        <f t="shared" si="8"/>
        <v/>
      </c>
      <c r="I188" s="22" t="str">
        <f t="shared" si="9"/>
        <v/>
      </c>
    </row>
    <row r="189">
      <c r="H189" s="22" t="str">
        <f t="shared" si="8"/>
        <v/>
      </c>
      <c r="I189" s="22" t="str">
        <f t="shared" si="9"/>
        <v/>
      </c>
    </row>
    <row r="190">
      <c r="H190" s="22" t="str">
        <f t="shared" si="8"/>
        <v/>
      </c>
      <c r="I190" s="22" t="str">
        <f t="shared" si="9"/>
        <v/>
      </c>
    </row>
    <row r="191">
      <c r="H191" s="22" t="str">
        <f t="shared" si="8"/>
        <v/>
      </c>
      <c r="I191" s="22" t="str">
        <f t="shared" si="9"/>
        <v/>
      </c>
    </row>
    <row r="192">
      <c r="H192" s="22" t="str">
        <f t="shared" si="8"/>
        <v/>
      </c>
      <c r="I192" s="22" t="str">
        <f t="shared" si="9"/>
        <v/>
      </c>
    </row>
    <row r="193">
      <c r="H193" s="22" t="str">
        <f t="shared" si="8"/>
        <v/>
      </c>
      <c r="I193" s="22" t="str">
        <f t="shared" si="9"/>
        <v/>
      </c>
    </row>
    <row r="194">
      <c r="H194" s="22" t="str">
        <f t="shared" si="8"/>
        <v/>
      </c>
      <c r="I194" s="22" t="str">
        <f t="shared" si="9"/>
        <v/>
      </c>
    </row>
    <row r="195">
      <c r="H195" s="22" t="str">
        <f t="shared" si="8"/>
        <v/>
      </c>
      <c r="I195" s="22" t="str">
        <f t="shared" si="9"/>
        <v/>
      </c>
    </row>
    <row r="196">
      <c r="H196" s="22" t="str">
        <f t="shared" si="8"/>
        <v/>
      </c>
      <c r="I196" s="22" t="str">
        <f t="shared" si="9"/>
        <v/>
      </c>
    </row>
    <row r="197">
      <c r="H197" s="22" t="str">
        <f t="shared" si="8"/>
        <v/>
      </c>
      <c r="I197" s="22" t="str">
        <f t="shared" si="9"/>
        <v/>
      </c>
    </row>
    <row r="198">
      <c r="H198" s="22" t="str">
        <f t="shared" si="8"/>
        <v/>
      </c>
      <c r="I198" s="22" t="str">
        <f t="shared" si="9"/>
        <v/>
      </c>
    </row>
    <row r="199">
      <c r="H199" s="22" t="str">
        <f t="shared" si="8"/>
        <v/>
      </c>
      <c r="I199" s="22" t="str">
        <f t="shared" si="9"/>
        <v/>
      </c>
    </row>
    <row r="200">
      <c r="H200" s="22" t="str">
        <f t="shared" si="8"/>
        <v/>
      </c>
      <c r="I200" s="22" t="str">
        <f t="shared" si="9"/>
        <v/>
      </c>
    </row>
    <row r="201">
      <c r="H201" s="22" t="str">
        <f t="shared" si="8"/>
        <v/>
      </c>
      <c r="I201" s="22" t="str">
        <f t="shared" si="9"/>
        <v/>
      </c>
    </row>
    <row r="202">
      <c r="H202" s="22" t="str">
        <f t="shared" si="8"/>
        <v/>
      </c>
      <c r="I202" s="22" t="str">
        <f t="shared" si="9"/>
        <v/>
      </c>
    </row>
    <row r="203">
      <c r="H203" s="22" t="str">
        <f t="shared" si="8"/>
        <v/>
      </c>
      <c r="I203" s="22" t="str">
        <f t="shared" si="9"/>
        <v/>
      </c>
    </row>
    <row r="204">
      <c r="H204" s="22" t="str">
        <f t="shared" si="8"/>
        <v/>
      </c>
      <c r="I204" s="22" t="str">
        <f t="shared" si="9"/>
        <v/>
      </c>
    </row>
    <row r="205">
      <c r="H205" s="22" t="str">
        <f t="shared" si="8"/>
        <v/>
      </c>
      <c r="I205" s="22" t="str">
        <f t="shared" si="9"/>
        <v/>
      </c>
    </row>
    <row r="206">
      <c r="H206" s="22" t="str">
        <f t="shared" si="8"/>
        <v/>
      </c>
      <c r="I206" s="22" t="str">
        <f t="shared" si="9"/>
        <v/>
      </c>
    </row>
    <row r="207">
      <c r="H207" s="22" t="str">
        <f t="shared" si="8"/>
        <v/>
      </c>
      <c r="I207" s="22" t="str">
        <f t="shared" si="9"/>
        <v/>
      </c>
    </row>
    <row r="208">
      <c r="H208" s="22" t="str">
        <f t="shared" si="8"/>
        <v/>
      </c>
      <c r="I208" s="22" t="str">
        <f t="shared" si="9"/>
        <v/>
      </c>
    </row>
    <row r="209">
      <c r="H209" s="22" t="str">
        <f t="shared" si="8"/>
        <v/>
      </c>
      <c r="I209" s="22" t="str">
        <f t="shared" si="9"/>
        <v/>
      </c>
    </row>
    <row r="210">
      <c r="H210" s="22" t="str">
        <f t="shared" si="8"/>
        <v/>
      </c>
      <c r="I210" s="22" t="str">
        <f t="shared" si="9"/>
        <v/>
      </c>
    </row>
    <row r="211">
      <c r="H211" s="22" t="str">
        <f t="shared" si="8"/>
        <v/>
      </c>
      <c r="I211" s="22" t="str">
        <f t="shared" si="9"/>
        <v/>
      </c>
    </row>
    <row r="212">
      <c r="H212" s="22" t="str">
        <f t="shared" si="8"/>
        <v/>
      </c>
      <c r="I212" s="22" t="str">
        <f t="shared" si="9"/>
        <v/>
      </c>
    </row>
    <row r="213">
      <c r="H213" s="22" t="str">
        <f t="shared" si="8"/>
        <v/>
      </c>
      <c r="I213" s="22" t="str">
        <f t="shared" si="9"/>
        <v/>
      </c>
    </row>
    <row r="214">
      <c r="H214" s="22" t="str">
        <f t="shared" si="8"/>
        <v/>
      </c>
      <c r="I214" s="22" t="str">
        <f t="shared" si="9"/>
        <v/>
      </c>
    </row>
    <row r="215">
      <c r="H215" s="22" t="str">
        <f t="shared" si="8"/>
        <v/>
      </c>
      <c r="I215" s="22" t="str">
        <f t="shared" si="9"/>
        <v/>
      </c>
    </row>
    <row r="216">
      <c r="H216" s="22" t="str">
        <f t="shared" si="8"/>
        <v/>
      </c>
      <c r="I216" s="22" t="str">
        <f t="shared" si="9"/>
        <v/>
      </c>
    </row>
    <row r="217">
      <c r="H217" s="22" t="str">
        <f t="shared" si="8"/>
        <v/>
      </c>
      <c r="I217" s="22" t="str">
        <f t="shared" si="9"/>
        <v/>
      </c>
    </row>
    <row r="218">
      <c r="H218" s="22" t="str">
        <f t="shared" si="8"/>
        <v/>
      </c>
      <c r="I218" s="22" t="str">
        <f t="shared" si="9"/>
        <v/>
      </c>
    </row>
    <row r="219">
      <c r="H219" s="22" t="str">
        <f t="shared" si="8"/>
        <v/>
      </c>
      <c r="I219" s="22" t="str">
        <f t="shared" si="9"/>
        <v/>
      </c>
    </row>
    <row r="220">
      <c r="H220" s="22" t="str">
        <f t="shared" si="8"/>
        <v/>
      </c>
      <c r="I220" s="22" t="str">
        <f t="shared" si="9"/>
        <v/>
      </c>
    </row>
    <row r="221">
      <c r="H221" s="22" t="str">
        <f t="shared" si="8"/>
        <v/>
      </c>
      <c r="I221" s="22" t="str">
        <f t="shared" si="9"/>
        <v/>
      </c>
    </row>
    <row r="222">
      <c r="H222" s="22" t="str">
        <f t="shared" si="8"/>
        <v/>
      </c>
      <c r="I222" s="22" t="str">
        <f t="shared" si="9"/>
        <v/>
      </c>
    </row>
    <row r="223">
      <c r="H223" s="22" t="str">
        <f t="shared" si="8"/>
        <v/>
      </c>
      <c r="I223" s="22" t="str">
        <f t="shared" si="9"/>
        <v/>
      </c>
    </row>
    <row r="224">
      <c r="H224" s="22" t="str">
        <f t="shared" si="8"/>
        <v/>
      </c>
      <c r="I224" s="22" t="str">
        <f t="shared" si="9"/>
        <v/>
      </c>
    </row>
    <row r="225">
      <c r="H225" s="22" t="str">
        <f t="shared" si="8"/>
        <v/>
      </c>
      <c r="I225" s="22" t="str">
        <f t="shared" si="9"/>
        <v/>
      </c>
    </row>
    <row r="226">
      <c r="H226" s="22" t="str">
        <f t="shared" si="8"/>
        <v/>
      </c>
      <c r="I226" s="22" t="str">
        <f t="shared" si="9"/>
        <v/>
      </c>
    </row>
    <row r="227">
      <c r="H227" s="22" t="str">
        <f t="shared" si="8"/>
        <v/>
      </c>
      <c r="I227" s="22" t="str">
        <f t="shared" si="9"/>
        <v/>
      </c>
    </row>
    <row r="228">
      <c r="H228" s="22" t="str">
        <f t="shared" si="8"/>
        <v/>
      </c>
      <c r="I228" s="22" t="str">
        <f t="shared" si="9"/>
        <v/>
      </c>
    </row>
    <row r="229">
      <c r="H229" s="22" t="str">
        <f t="shared" si="8"/>
        <v/>
      </c>
      <c r="I229" s="22" t="str">
        <f t="shared" si="9"/>
        <v/>
      </c>
    </row>
    <row r="230">
      <c r="H230" s="22" t="str">
        <f t="shared" si="8"/>
        <v/>
      </c>
      <c r="I230" s="22" t="str">
        <f t="shared" si="9"/>
        <v/>
      </c>
    </row>
    <row r="231">
      <c r="H231" s="22" t="str">
        <f t="shared" ref="H231:H234" si="10">IF(OR(D231="",E231=""),"",D231-E231)</f>
        <v/>
      </c>
      <c r="I231" s="22" t="str">
        <f t="shared" ref="I231:I241" si="11">IF(OR(H231="",E231=0),"",ABS(H231)/E231*100)</f>
        <v/>
      </c>
    </row>
    <row r="232">
      <c r="H232" s="22" t="str">
        <f t="shared" si="10"/>
        <v/>
      </c>
      <c r="I232" s="22" t="str">
        <f t="shared" si="11"/>
        <v/>
      </c>
    </row>
    <row r="233">
      <c r="H233" s="22" t="str">
        <f t="shared" si="10"/>
        <v/>
      </c>
      <c r="I233" s="22" t="str">
        <f t="shared" si="11"/>
        <v/>
      </c>
    </row>
    <row r="234">
      <c r="H234" s="22" t="str">
        <f t="shared" si="10"/>
        <v/>
      </c>
      <c r="I234" s="22" t="str">
        <f t="shared" si="11"/>
        <v/>
      </c>
    </row>
    <row r="235">
      <c r="I235" s="22" t="str">
        <f t="shared" si="11"/>
        <v/>
      </c>
    </row>
    <row r="236">
      <c r="I236" s="22" t="str">
        <f t="shared" si="11"/>
        <v/>
      </c>
    </row>
    <row r="237">
      <c r="I237" s="22" t="str">
        <f t="shared" si="11"/>
        <v/>
      </c>
    </row>
    <row r="238">
      <c r="I238" s="22" t="str">
        <f t="shared" si="11"/>
        <v/>
      </c>
    </row>
    <row r="239">
      <c r="I239" s="22" t="str">
        <f t="shared" si="11"/>
        <v/>
      </c>
    </row>
    <row r="240">
      <c r="I240" s="22" t="str">
        <f t="shared" si="11"/>
        <v/>
      </c>
    </row>
    <row r="241">
      <c r="I241" s="22" t="str">
        <f t="shared" si="11"/>
        <v/>
      </c>
    </row>
  </sheetData>
  <hyperlinks>
    <hyperlink location="Instructions!A1" ref="A6"/>
  </hyperlinks>
  <printOptions headings="0" gridLines="1"/>
  <pageMargins left="0.75" right="0.75" top="1" bottom="1" header="0.5" footer="0.51181102362204689"/>
  <pageSetup paperSize="9" scale="70" fitToWidth="1" fitToHeight="1" pageOrder="downThenOver" orientation="landscape" usePrinterDefaults="1" blackAndWhite="0" draft="0" cellComments="none" useFirstPageNumber="0" errors="displayed" horizontalDpi="300" verticalDpi="300" copies="1"/>
  <headerFooter>
    <oddHeader>&amp;LEdit the Header with Your Team ID&amp;C&amp;F&amp;R&amp;D</oddHeader>
  </headerFooter>
  <extLst>
    <ext xmlns:x14="http://schemas.microsoft.com/office/spreadsheetml/2009/9/main" uri="{78C0D931-6437-407d-A8EE-F0AAD7539E65}">
      <x14:conditionalFormattings>
        <x14:conditionalFormatting xmlns:xm="http://schemas.microsoft.com/office/excel/2006/main">
          <x14:cfRule type="cellIs" priority="2" operator="equal" id="{00130041-00D8-43AA-A3B6-00E800890070}">
            <xm:f>"Delayed"</xm:f>
            <x14:dxf>
              <font>
                <b val="0"/>
              </font>
              <fill>
                <patternFill patternType="solid">
                  <fgColor rgb="FFDD0806"/>
                  <bgColor rgb="FFDD0806"/>
                </patternFill>
              </fill>
            </x14:dxf>
          </x14:cfRule>
          <xm:sqref>F5:F40 F42:F65521</xm:sqref>
        </x14:conditionalFormatting>
        <x14:conditionalFormatting xmlns:xm="http://schemas.microsoft.com/office/excel/2006/main">
          <x14:cfRule type="cellIs" priority="3" operator="equal" id="{009C0023-004E-42CD-85D4-00BA006800B2}">
            <xm:f>"Done"</xm:f>
            <x14:dxf>
              <font>
                <b val="0"/>
              </font>
              <fill>
                <patternFill patternType="solid">
                  <fgColor rgb="FF006411"/>
                  <bgColor rgb="FF006411"/>
                </patternFill>
              </fill>
            </x14:dxf>
          </x14:cfRule>
          <xm:sqref>F5:F40 F42:F65521</xm:sqref>
        </x14:conditionalFormatting>
        <x14:conditionalFormatting xmlns:xm="http://schemas.microsoft.com/office/excel/2006/main">
          <x14:cfRule type="cellIs" priority="4" operator="equal" id="{006F00A8-0024-4EA2-9635-00A2000500B1}">
            <xm:f>"Ongoing"</xm:f>
            <x14:dxf>
              <font>
                <b val="0"/>
              </font>
              <fill>
                <patternFill patternType="solid">
                  <fgColor rgb="FFFCF305"/>
                  <bgColor rgb="FFFCF305"/>
                </patternFill>
              </fill>
            </x14:dxf>
          </x14:cfRule>
          <xm:sqref>F5:F40 F42:F65521</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C1002E-00AA-4551-95C4-00C4003C0026}" type="list" allowBlank="1" errorStyle="stop" imeMode="noControl" operator="between" showDropDown="0" showErrorMessage="1" showInputMessage="0">
          <x14:formula1>
            <xm:f>"Planned,Ongoing,Delayed,Done"</xm:f>
          </x14:formula1>
          <x14:formula2>
            <xm:f>0</xm:f>
          </x14:formula2>
          <xm:sqref>F5:F40 F42:F1241</xm:sqref>
        </x14:dataValidation>
        <x14:dataValidation xr:uid="{00A000F0-0065-4EEE-9B96-002300160033}" type="list" allowBlank="1" errorStyle="stop" imeMode="noControl" operator="between" showDropDown="0" showErrorMessage="1" showInputMessage="0">
          <x14:formula1>
            <xm:f>"Requirements,Design,Development,Testing,Preparation,Coordination,Documentation,Interfaces,Delivery"</xm:f>
          </x14:formula1>
          <x14:formula2>
            <xm:f>0</xm:f>
          </x14:formula2>
          <xm:sqref>B5:B9 B11:B12 B18:B25 B34 B40:B1241</xm:sqref>
        </x14:dataValidation>
      </x14:dataValidations>
    </ext>
  </extLst>
</worksheet>
</file>

<file path=docProps/app.xml><?xml version="1.0" encoding="utf-8"?>
<Properties xmlns="http://schemas.openxmlformats.org/officeDocument/2006/extended-properties" xmlns:vt="http://schemas.openxmlformats.org/officeDocument/2006/docPropsVTypes">
  <Template/>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7</cp:revision>
  <dcterms:created xsi:type="dcterms:W3CDTF">2026-02-08T15:14:11Z</dcterms:created>
  <dcterms:modified xsi:type="dcterms:W3CDTF">2026-02-21T01:17:50Z</dcterms:modified>
</cp:coreProperties>
</file>